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LEEME" sheetId="1" state="visible" r:id="rId1"/>
    <sheet name="00_PARAMETROS" sheetId="2" state="visible" r:id="rId2"/>
    <sheet name="DICIEMBRE 2024" sheetId="3" state="visible" r:id="rId3"/>
    <sheet name="ENERO 2025" sheetId="4" state="visible" r:id="rId4"/>
    <sheet name="FEBRERO 2025" sheetId="5" state="visible" r:id="rId5"/>
    <sheet name="MARZO 2025" sheetId="6" state="visible" r:id="rId6"/>
    <sheet name="ABRIL 2025" sheetId="7" state="visible" r:id="rId7"/>
    <sheet name="MAYO 2025" sheetId="8" state="visible" r:id="rId8"/>
    <sheet name="JUNIO 2025" sheetId="9" state="visible" r:id="rId9"/>
    <sheet name="JULIO 2025" sheetId="10" state="visible" r:id="rId10"/>
    <sheet name="AGOSTO 2025" sheetId="11" state="visible" r:id="rId11"/>
    <sheet name="SEPTIEMBRE 2025" sheetId="12" state="visible" r:id="rId12"/>
    <sheet name="OCTUBRE 2025" sheetId="13" state="visible" r:id="rId13"/>
    <sheet name="NOVIEMBRE 2025" sheetId="14" state="visible" r:id="rId14"/>
    <sheet name="DICIEMBRE 2025" sheetId="15" state="visible" r:id="rId15"/>
    <sheet name="ENERO 2026" sheetId="16" state="visible" r:id="rId16"/>
    <sheet name="FEBRERO 2026" sheetId="17" state="visible" r:id="rId17"/>
    <sheet name="99_CONTROL" sheetId="18" state="visible" r:id="rId1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8">
    <fill>
      <patternFill/>
    </fill>
    <fill>
      <patternFill patternType="gray125"/>
    </fill>
    <fill>
      <patternFill patternType="solid">
        <fgColor rgb="001F4E78"/>
      </patternFill>
    </fill>
    <fill>
      <patternFill patternType="solid">
        <fgColor rgb="00DCE6F1"/>
      </patternFill>
    </fill>
    <fill>
      <patternFill patternType="solid">
        <fgColor rgb="00FFF2CC"/>
      </patternFill>
    </fill>
    <fill>
      <patternFill patternType="solid">
        <fgColor rgb="00E2F0D9"/>
      </patternFill>
    </fill>
    <fill>
      <patternFill patternType="solid">
        <fgColor rgb="00EAF2F8"/>
      </patternFill>
    </fill>
    <fill>
      <patternFill patternType="solid">
        <fgColor rgb="00FCE4D6"/>
      </patternFill>
    </fill>
  </fills>
  <borders count="6">
    <border>
      <left/>
      <right/>
      <top/>
      <bottom/>
      <diagonal/>
    </border>
    <border>
      <left style="thin">
        <color rgb="00D9DDE3"/>
      </left>
      <right style="thin">
        <color rgb="00D9DDE3"/>
      </right>
      <top style="thin">
        <color rgb="00D9DDE3"/>
      </top>
      <bottom style="thin">
        <color rgb="00D9DDE3"/>
      </bottom>
    </border>
    <border>
      <left/>
      <right/>
      <top style="thin">
        <color rgb="00D9DDE3"/>
      </top>
      <bottom/>
      <diagonal/>
    </border>
    <border>
      <left/>
      <right style="thin">
        <color rgb="00D9DDE3"/>
      </right>
      <top style="thin">
        <color rgb="00D9DDE3"/>
      </top>
      <bottom/>
      <diagonal/>
    </border>
    <border>
      <left/>
      <right/>
      <top style="thin">
        <color rgb="00D9DDE3"/>
      </top>
      <bottom style="thin">
        <color rgb="00D9DDE3"/>
      </bottom>
      <diagonal/>
    </border>
    <border>
      <left/>
      <right style="thin">
        <color rgb="00D9DDE3"/>
      </right>
      <top style="thin">
        <color rgb="00D9DDE3"/>
      </top>
      <bottom style="thin">
        <color rgb="00D9DDE3"/>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xf>
    <xf numFmtId="0" fontId="2" fillId="3" borderId="1" pivotButton="0" quotePrefix="0" xfId="0"/>
    <xf numFmtId="0" fontId="0" fillId="4" borderId="1" applyProtection="1" pivotButton="0" quotePrefix="0" xfId="0">
      <protection locked="0" hidden="0"/>
    </xf>
    <xf numFmtId="0" fontId="0" fillId="5" borderId="1" pivotButton="0" quotePrefix="0" xfId="0"/>
    <xf numFmtId="0" fontId="0" fillId="7" borderId="1" pivotButton="0" quotePrefix="0" xfId="0"/>
    <xf numFmtId="0" fontId="2" fillId="6" borderId="1" applyAlignment="1" pivotButton="0" quotePrefix="0" xfId="0">
      <alignment horizontal="center" vertical="center" wrapText="1"/>
    </xf>
    <xf numFmtId="0" fontId="0" fillId="0" borderId="1" pivotButton="0" quotePrefix="0" xfId="0"/>
    <xf numFmtId="0" fontId="2" fillId="5" borderId="1" pivotButton="0" quotePrefix="0" xfId="0"/>
    <xf numFmtId="0" fontId="0" fillId="0" borderId="4" pivotButton="0" quotePrefix="0" xfId="0"/>
    <xf numFmtId="0" fontId="0" fillId="0" borderId="5" pivotButton="0" quotePrefix="0" xfId="0"/>
    <xf numFmtId="0" fontId="2" fillId="6" borderId="1" pivotButton="0" quotePrefix="0" xfId="0"/>
    <xf numFmtId="10" fontId="0" fillId="5" borderId="1" pivotButton="0" quotePrefix="0" xfId="0"/>
    <xf numFmtId="2" fontId="0"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8" customWidth="1" min="1" max="1"/>
    <col width="28" customWidth="1" min="2" max="2"/>
    <col width="18" customWidth="1" min="3" max="3"/>
    <col width="18" customWidth="1" min="4" max="4"/>
    <col width="18" customWidth="1" min="5" max="5"/>
    <col width="18" customWidth="1" min="6" max="6"/>
  </cols>
  <sheetData>
    <row r="1">
      <c r="A1" s="1" t="inlineStr">
        <is>
          <t>HODOM - ESTRUCTURA NUEVA</t>
        </is>
      </c>
    </row>
    <row r="3">
      <c r="A3" t="inlineStr">
        <is>
          <t>Objetivo</t>
        </is>
      </c>
    </row>
    <row r="4">
      <c r="A4" t="inlineStr">
        <is>
          <t>Dejar una base limpia, simple y consistente para cargar y migrar los meses desde la planilla antigua.</t>
        </is>
      </c>
    </row>
    <row r="5">
      <c r="A5" t="inlineStr"/>
    </row>
    <row r="6">
      <c r="A6" t="inlineStr">
        <is>
          <t>Qué trae este archivo</t>
        </is>
      </c>
    </row>
    <row r="7">
      <c r="A7" t="inlineStr">
        <is>
          <t>1. Una hoja de parámetros generales.</t>
        </is>
      </c>
    </row>
    <row r="8">
      <c r="A8" t="inlineStr">
        <is>
          <t>2. Una hoja mensual estándar por cada mes del período original.</t>
        </is>
      </c>
    </row>
    <row r="9">
      <c r="A9" t="inlineStr">
        <is>
          <t>3. Una hoja de control para revisar rápidamente totales e inconsistencias.</t>
        </is>
      </c>
    </row>
    <row r="10">
      <c r="A10" t="inlineStr"/>
    </row>
    <row r="11">
      <c r="A11" t="inlineStr">
        <is>
          <t>Cómo usarlo</t>
        </is>
      </c>
    </row>
    <row r="12">
      <c r="A12" t="inlineStr">
        <is>
          <t>1. Editar solo celdas amarillas.</t>
        </is>
      </c>
    </row>
    <row r="13">
      <c r="A13" t="inlineStr">
        <is>
          <t>2. No editar celdas verdes: son cálculos.</t>
        </is>
      </c>
    </row>
    <row r="14">
      <c r="A14" t="inlineStr">
        <is>
          <t>3. Revisar alertas en cada hoja mensual y en 99_CONTROL.</t>
        </is>
      </c>
    </row>
    <row r="15">
      <c r="A15" t="inlineStr">
        <is>
          <t>4. Migrar mes por mes desde la planilla antigua.</t>
        </is>
      </c>
    </row>
    <row r="16">
      <c r="A16" t="inlineStr"/>
    </row>
    <row r="17">
      <c r="A17" t="inlineStr">
        <is>
          <t>Definiciones clave</t>
        </is>
      </c>
    </row>
    <row r="18">
      <c r="A18" t="inlineStr">
        <is>
          <t>Pacientes atendidos del mes = existencia inicial del día 1 + total de ingresos del mes.</t>
        </is>
      </c>
    </row>
    <row r="19">
      <c r="A19" t="inlineStr">
        <is>
          <t>Índice ocupacional % = días cama ocupadas / días cama disponibles.</t>
        </is>
      </c>
    </row>
    <row r="20">
      <c r="A20" t="inlineStr">
        <is>
          <t>Promedio día de estada = días estada total / total egresos.</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4" customWidth="1" min="1" max="1"/>
    <col width="28" customWidth="1" min="2" max="2"/>
    <col width="14" customWidth="1" min="3" max="3"/>
    <col width="14" customWidth="1" min="4" max="4"/>
  </cols>
  <sheetData>
    <row r="1">
      <c r="A1" s="1" t="inlineStr">
        <is>
          <t>PARAMETROS GENERALES</t>
        </is>
      </c>
    </row>
    <row r="3">
      <c r="A3" s="2" t="inlineStr">
        <is>
          <t>Servicio</t>
        </is>
      </c>
      <c r="B3" s="3" t="inlineStr">
        <is>
          <t>HODOM</t>
        </is>
      </c>
    </row>
    <row r="4">
      <c r="A4" s="2" t="inlineStr">
        <is>
          <t>Codigo</t>
        </is>
      </c>
      <c r="B4" s="3" t="inlineStr"/>
    </row>
    <row r="5">
      <c r="A5" s="2" t="inlineStr">
        <is>
          <t>Camas base por dia</t>
        </is>
      </c>
      <c r="B5" s="3" t="n">
        <v>16</v>
      </c>
    </row>
    <row r="6">
      <c r="A6" s="2" t="inlineStr">
        <is>
          <t>Responsable</t>
        </is>
      </c>
      <c r="B6" s="3" t="inlineStr"/>
    </row>
    <row r="7">
      <c r="A7" s="2" t="inlineStr">
        <is>
          <t>Observaciones</t>
        </is>
      </c>
      <c r="B7" s="3" t="inlineStr"/>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50"/>
  <sheetViews>
    <sheetView showGridLines="1" workbookViewId="0">
      <pane ySplit="6" topLeftCell="A7" activePane="bottomLeft" state="frozen"/>
      <selection pane="bottomLeft" activeCell="A1" sqref="A1"/>
    </sheetView>
  </sheetViews>
  <sheetFormatPr baseColWidth="8" defaultRowHeight="15"/>
  <cols>
    <col width="13" customWidth="1" min="1" max="1"/>
    <col width="7" customWidth="1" min="2" max="2"/>
    <col width="20" customWidth="1" min="3" max="3"/>
    <col width="13" customWidth="1" min="4" max="4"/>
    <col width="18" customWidth="1" min="5" max="5"/>
    <col width="15" customWidth="1" min="6" max="6"/>
    <col width="16" customWidth="1" min="7" max="7"/>
    <col width="10" customWidth="1" min="8" max="8"/>
    <col width="15" customWidth="1" min="9" max="9"/>
    <col width="13" customWidth="1" min="10" max="10"/>
    <col width="20" customWidth="1" min="11" max="11"/>
    <col width="22" customWidth="1" min="12" max="12"/>
    <col width="14" customWidth="1" min="13" max="13"/>
    <col width="13" customWidth="1" min="14" max="14"/>
    <col width="18" customWidth="1" min="15" max="15"/>
    <col width="18" customWidth="1" min="16" max="16"/>
    <col width="17" customWidth="1" min="17" max="17"/>
    <col width="16" customWidth="1" min="18" max="18"/>
    <col width="16" customWidth="1" min="19" max="19"/>
    <col width="34" customWidth="1" min="21" max="21"/>
    <col width="12" customWidth="1" min="22" max="22"/>
  </cols>
  <sheetData>
    <row r="1" ht="20" customHeight="1">
      <c r="A1" s="1" t="inlineStr">
        <is>
          <t>RESUMEN MENSUAL HODOM</t>
        </is>
      </c>
      <c r="U1" s="1" t="inlineStr">
        <is>
          <t>CONTROL</t>
        </is>
      </c>
    </row>
    <row r="2" ht="20" customHeight="1">
      <c r="A2" s="2" t="inlineStr">
        <is>
          <t>Servicio</t>
        </is>
      </c>
      <c r="B2" s="4">
        <f>00_PARAMETROS!B3</f>
        <v/>
      </c>
      <c r="C2" s="2" t="inlineStr">
        <is>
          <t>Codigo</t>
        </is>
      </c>
      <c r="D2" s="4">
        <f>00_PARAMETROS!B4</f>
        <v/>
      </c>
      <c r="E2" s="2" t="inlineStr">
        <is>
          <t>Mes</t>
        </is>
      </c>
      <c r="F2" s="3" t="inlineStr">
        <is>
          <t>DICIEMBRE</t>
        </is>
      </c>
      <c r="G2" s="2" t="inlineStr">
        <is>
          <t>Ano</t>
        </is>
      </c>
      <c r="H2" s="3" t="n">
        <v>2024</v>
      </c>
    </row>
    <row r="3" ht="20" customHeight="1">
      <c r="A3" s="2" t="inlineStr">
        <is>
          <t>Camas base</t>
        </is>
      </c>
      <c r="B3" s="4">
        <f>00_PARAMETROS!B5</f>
        <v/>
      </c>
      <c r="C3" s="2" t="inlineStr">
        <is>
          <t>Promedio camas</t>
        </is>
      </c>
      <c r="D3" s="4">
        <f>AVERAGE(P7:P37)</f>
        <v/>
      </c>
      <c r="E3" s="2" t="inlineStr">
        <is>
          <t>Dias del mes</t>
        </is>
      </c>
      <c r="F3" s="3" t="n">
        <v>31</v>
      </c>
      <c r="U3" s="5" t="inlineStr">
        <is>
          <t>Dias con ocupacion negativa</t>
        </is>
      </c>
      <c r="V3" s="4">
        <f>COUNTIF(Q7:Q37,"&lt;0")</f>
        <v/>
      </c>
    </row>
    <row r="4" ht="20" customHeight="1">
      <c r="U4" s="5" t="inlineStr">
        <is>
          <t>Dias sin camas disponibles</t>
        </is>
      </c>
      <c r="V4" s="4">
        <f>COUNTBLANK(P7:P37)</f>
        <v/>
      </c>
    </row>
    <row r="5" ht="20" customHeight="1">
      <c r="U5" s="5" t="inlineStr">
        <is>
          <t>Primer dia sin existencia inicial</t>
        </is>
      </c>
      <c r="V5" s="4">
        <f>IF(C7="",1,0)</f>
        <v/>
      </c>
    </row>
    <row r="6" ht="36" customHeight="1">
      <c r="A6" s="6" t="inlineStr">
        <is>
          <t>Fecha</t>
        </is>
      </c>
      <c r="B6" s="6" t="inlineStr">
        <is>
          <t>Dia</t>
        </is>
      </c>
      <c r="C6" s="6" t="inlineStr">
        <is>
          <t>Existencia dia anterior</t>
        </is>
      </c>
      <c r="D6" s="6" t="inlineStr">
        <is>
          <t>Ing. urgencia</t>
        </is>
      </c>
      <c r="E6" s="6" t="inlineStr">
        <is>
          <t>Ing. hospitalizacion</t>
        </is>
      </c>
      <c r="F6" s="6" t="inlineStr">
        <is>
          <t>Ing. ambulatorio</t>
        </is>
      </c>
      <c r="G6" s="6" t="inlineStr">
        <is>
          <t>Ing. ley urgencia</t>
        </is>
      </c>
      <c r="H6" s="6" t="inlineStr">
        <is>
          <t>Ing. UGCC</t>
        </is>
      </c>
      <c r="I6" s="6" t="inlineStr">
        <is>
          <t>Ing. por traslado</t>
        </is>
      </c>
      <c r="J6" s="6" t="inlineStr">
        <is>
          <t>Total ingresos</t>
        </is>
      </c>
      <c r="K6" s="6" t="inlineStr">
        <is>
          <t>Egr. alta hogar / otro hosp.</t>
        </is>
      </c>
      <c r="L6" s="6" t="inlineStr">
        <is>
          <t>Egr. traslado a otro servicio</t>
        </is>
      </c>
      <c r="M6" s="6" t="inlineStr">
        <is>
          <t>Egr. fallecidos</t>
        </is>
      </c>
      <c r="N6" s="6" t="inlineStr">
        <is>
          <t>Total egresos</t>
        </is>
      </c>
      <c r="O6" s="6" t="inlineStr">
        <is>
          <t>Ingr.-egr. mismo dia</t>
        </is>
      </c>
      <c r="P6" s="6" t="inlineStr">
        <is>
          <t>Dias cama disponibles</t>
        </is>
      </c>
      <c r="Q6" s="6" t="inlineStr">
        <is>
          <t>Dias cama ocupadas</t>
        </is>
      </c>
      <c r="R6" s="6" t="inlineStr">
        <is>
          <t>Dias estada total</t>
        </is>
      </c>
      <c r="S6" s="6" t="inlineStr">
        <is>
          <t>Dias estada benef.</t>
        </is>
      </c>
      <c r="U6" s="5" t="inlineStr">
        <is>
          <t>Dias con total ingresos manualmente alterado</t>
        </is>
      </c>
      <c r="V6" s="4" t="inlineStr">
        <is>
          <t>0</t>
        </is>
      </c>
    </row>
    <row r="7" ht="20" customHeight="1">
      <c r="A7" s="4">
        <f>DATE(2024,12,1)</f>
        <v/>
      </c>
      <c r="B7" s="4" t="n">
        <v>1</v>
      </c>
      <c r="C7" s="3" t="n"/>
      <c r="D7" s="3" t="n"/>
      <c r="E7" s="3" t="n"/>
      <c r="F7" s="3" t="n"/>
      <c r="G7" s="3" t="n"/>
      <c r="H7" s="3" t="n"/>
      <c r="I7" s="3" t="n"/>
      <c r="J7" s="4">
        <f>SUM(D7:H7)+I7</f>
        <v/>
      </c>
      <c r="K7" s="3" t="n"/>
      <c r="L7" s="3" t="n"/>
      <c r="M7" s="3" t="n"/>
      <c r="N7" s="4">
        <f>SUM(K7:M7)</f>
        <v/>
      </c>
      <c r="O7" s="3" t="n"/>
      <c r="P7" s="3">
        <f>00_PARAMETROS!B5</f>
        <v/>
      </c>
      <c r="Q7" s="4">
        <f>C7+J7-N7</f>
        <v/>
      </c>
      <c r="R7" s="3" t="n"/>
      <c r="S7" s="3" t="n"/>
      <c r="U7" s="5" t="inlineStr">
        <is>
          <t>Dias con total egresos manualmente alterado</t>
        </is>
      </c>
      <c r="V7" s="4" t="inlineStr">
        <is>
          <t>0</t>
        </is>
      </c>
    </row>
    <row r="8" ht="20" customHeight="1">
      <c r="A8" s="4">
        <f>DATE(2024,12,2)</f>
        <v/>
      </c>
      <c r="B8" s="4" t="n">
        <v>2</v>
      </c>
      <c r="C8" s="4">
        <f>Q7</f>
        <v/>
      </c>
      <c r="D8" s="3" t="n"/>
      <c r="E8" s="3" t="n"/>
      <c r="F8" s="3" t="n"/>
      <c r="G8" s="3" t="n"/>
      <c r="H8" s="3" t="n"/>
      <c r="I8" s="3" t="n"/>
      <c r="J8" s="4">
        <f>SUM(D8:H8)+I8</f>
        <v/>
      </c>
      <c r="K8" s="3" t="n"/>
      <c r="L8" s="3" t="n"/>
      <c r="M8" s="3" t="n"/>
      <c r="N8" s="4">
        <f>SUM(K8:M8)</f>
        <v/>
      </c>
      <c r="O8" s="3" t="n"/>
      <c r="P8" s="3">
        <f>00_PARAMETROS!B5</f>
        <v/>
      </c>
      <c r="Q8" s="4">
        <f>C8+J8-N8</f>
        <v/>
      </c>
      <c r="R8" s="3" t="n"/>
      <c r="S8" s="3" t="n"/>
    </row>
    <row r="9" ht="20" customHeight="1">
      <c r="A9" s="4">
        <f>DATE(2024,12,3)</f>
        <v/>
      </c>
      <c r="B9" s="4" t="n">
        <v>3</v>
      </c>
      <c r="C9" s="4">
        <f>Q8</f>
        <v/>
      </c>
      <c r="D9" s="3" t="n"/>
      <c r="E9" s="3" t="n"/>
      <c r="F9" s="3" t="n"/>
      <c r="G9" s="3" t="n"/>
      <c r="H9" s="3" t="n"/>
      <c r="I9" s="3" t="n"/>
      <c r="J9" s="4">
        <f>SUM(D9:H9)+I9</f>
        <v/>
      </c>
      <c r="K9" s="3" t="n"/>
      <c r="L9" s="3" t="n"/>
      <c r="M9" s="3" t="n"/>
      <c r="N9" s="4">
        <f>SUM(K9:M9)</f>
        <v/>
      </c>
      <c r="O9" s="3" t="n"/>
      <c r="P9" s="3">
        <f>00_PARAMETROS!B5</f>
        <v/>
      </c>
      <c r="Q9" s="4">
        <f>C9+J9-N9</f>
        <v/>
      </c>
      <c r="R9" s="3" t="n"/>
      <c r="S9" s="3" t="n"/>
    </row>
    <row r="10" ht="20" customHeight="1">
      <c r="A10" s="4">
        <f>DATE(2024,12,4)</f>
        <v/>
      </c>
      <c r="B10" s="4" t="n">
        <v>4</v>
      </c>
      <c r="C10" s="4">
        <f>Q9</f>
        <v/>
      </c>
      <c r="D10" s="3" t="n"/>
      <c r="E10" s="3" t="n"/>
      <c r="F10" s="3" t="n"/>
      <c r="G10" s="3" t="n"/>
      <c r="H10" s="3" t="n"/>
      <c r="I10" s="3" t="n"/>
      <c r="J10" s="4">
        <f>SUM(D10:H10)+I10</f>
        <v/>
      </c>
      <c r="K10" s="3" t="n"/>
      <c r="L10" s="3" t="n"/>
      <c r="M10" s="3" t="n"/>
      <c r="N10" s="4">
        <f>SUM(K10:M10)</f>
        <v/>
      </c>
      <c r="O10" s="3" t="n"/>
      <c r="P10" s="3">
        <f>00_PARAMETROS!B5</f>
        <v/>
      </c>
      <c r="Q10" s="4">
        <f>C10+J10-N10</f>
        <v/>
      </c>
      <c r="R10" s="3" t="n"/>
      <c r="S10" s="3" t="n"/>
    </row>
    <row r="11" ht="20" customHeight="1">
      <c r="A11" s="4">
        <f>DATE(2024,12,5)</f>
        <v/>
      </c>
      <c r="B11" s="4" t="n">
        <v>5</v>
      </c>
      <c r="C11" s="4">
        <f>Q10</f>
        <v/>
      </c>
      <c r="D11" s="3" t="n"/>
      <c r="E11" s="3" t="n"/>
      <c r="F11" s="3" t="n"/>
      <c r="G11" s="3" t="n"/>
      <c r="H11" s="3" t="n"/>
      <c r="I11" s="3" t="n"/>
      <c r="J11" s="4">
        <f>SUM(D11:H11)+I11</f>
        <v/>
      </c>
      <c r="K11" s="3" t="n"/>
      <c r="L11" s="3" t="n"/>
      <c r="M11" s="3" t="n"/>
      <c r="N11" s="4">
        <f>SUM(K11:M11)</f>
        <v/>
      </c>
      <c r="O11" s="3" t="n"/>
      <c r="P11" s="3">
        <f>00_PARAMETROS!B5</f>
        <v/>
      </c>
      <c r="Q11" s="4">
        <f>C11+J11-N11</f>
        <v/>
      </c>
      <c r="R11" s="3" t="n"/>
      <c r="S11" s="3" t="n"/>
    </row>
    <row r="12" ht="20" customHeight="1">
      <c r="A12" s="4">
        <f>DATE(2024,12,6)</f>
        <v/>
      </c>
      <c r="B12" s="4" t="n">
        <v>6</v>
      </c>
      <c r="C12" s="4">
        <f>Q11</f>
        <v/>
      </c>
      <c r="D12" s="3" t="n"/>
      <c r="E12" s="3" t="n"/>
      <c r="F12" s="3" t="n"/>
      <c r="G12" s="3" t="n"/>
      <c r="H12" s="3" t="n"/>
      <c r="I12" s="3" t="n"/>
      <c r="J12" s="4">
        <f>SUM(D12:H12)+I12</f>
        <v/>
      </c>
      <c r="K12" s="3" t="n"/>
      <c r="L12" s="3" t="n"/>
      <c r="M12" s="3" t="n"/>
      <c r="N12" s="4">
        <f>SUM(K12:M12)</f>
        <v/>
      </c>
      <c r="O12" s="3" t="n"/>
      <c r="P12" s="3">
        <f>00_PARAMETROS!B5</f>
        <v/>
      </c>
      <c r="Q12" s="4">
        <f>C12+J12-N12</f>
        <v/>
      </c>
      <c r="R12" s="3" t="n"/>
      <c r="S12" s="3" t="n"/>
    </row>
    <row r="13" ht="20" customHeight="1">
      <c r="A13" s="4">
        <f>DATE(2024,12,7)</f>
        <v/>
      </c>
      <c r="B13" s="4" t="n">
        <v>7</v>
      </c>
      <c r="C13" s="4">
        <f>Q12</f>
        <v/>
      </c>
      <c r="D13" s="3" t="n"/>
      <c r="E13" s="3" t="n"/>
      <c r="F13" s="3" t="n"/>
      <c r="G13" s="3" t="n"/>
      <c r="H13" s="3" t="n"/>
      <c r="I13" s="3" t="n"/>
      <c r="J13" s="4">
        <f>SUM(D13:H13)+I13</f>
        <v/>
      </c>
      <c r="K13" s="3" t="n"/>
      <c r="L13" s="3" t="n"/>
      <c r="M13" s="3" t="n"/>
      <c r="N13" s="4">
        <f>SUM(K13:M13)</f>
        <v/>
      </c>
      <c r="O13" s="3" t="n"/>
      <c r="P13" s="3">
        <f>00_PARAMETROS!B5</f>
        <v/>
      </c>
      <c r="Q13" s="4">
        <f>C13+J13-N13</f>
        <v/>
      </c>
      <c r="R13" s="3" t="n"/>
      <c r="S13" s="3" t="n"/>
    </row>
    <row r="14" ht="20" customHeight="1">
      <c r="A14" s="4">
        <f>DATE(2024,12,8)</f>
        <v/>
      </c>
      <c r="B14" s="4" t="n">
        <v>8</v>
      </c>
      <c r="C14" s="4">
        <f>Q13</f>
        <v/>
      </c>
      <c r="D14" s="3" t="n"/>
      <c r="E14" s="3" t="n"/>
      <c r="F14" s="3" t="n"/>
      <c r="G14" s="3" t="n"/>
      <c r="H14" s="3" t="n"/>
      <c r="I14" s="3" t="n"/>
      <c r="J14" s="4">
        <f>SUM(D14:H14)+I14</f>
        <v/>
      </c>
      <c r="K14" s="3" t="n"/>
      <c r="L14" s="3" t="n"/>
      <c r="M14" s="3" t="n"/>
      <c r="N14" s="4">
        <f>SUM(K14:M14)</f>
        <v/>
      </c>
      <c r="O14" s="3" t="n"/>
      <c r="P14" s="3">
        <f>00_PARAMETROS!B5</f>
        <v/>
      </c>
      <c r="Q14" s="4">
        <f>C14+J14-N14</f>
        <v/>
      </c>
      <c r="R14" s="3" t="n"/>
      <c r="S14" s="3" t="n"/>
    </row>
    <row r="15" ht="20" customHeight="1">
      <c r="A15" s="4">
        <f>DATE(2024,12,9)</f>
        <v/>
      </c>
      <c r="B15" s="4" t="n">
        <v>9</v>
      </c>
      <c r="C15" s="4">
        <f>Q14</f>
        <v/>
      </c>
      <c r="D15" s="3" t="n"/>
      <c r="E15" s="3" t="n"/>
      <c r="F15" s="3" t="n"/>
      <c r="G15" s="3" t="n"/>
      <c r="H15" s="3" t="n"/>
      <c r="I15" s="3" t="n"/>
      <c r="J15" s="4">
        <f>SUM(D15:H15)+I15</f>
        <v/>
      </c>
      <c r="K15" s="3" t="n"/>
      <c r="L15" s="3" t="n"/>
      <c r="M15" s="3" t="n"/>
      <c r="N15" s="4">
        <f>SUM(K15:M15)</f>
        <v/>
      </c>
      <c r="O15" s="3" t="n"/>
      <c r="P15" s="3">
        <f>00_PARAMETROS!B5</f>
        <v/>
      </c>
      <c r="Q15" s="4">
        <f>C15+J15-N15</f>
        <v/>
      </c>
      <c r="R15" s="3" t="n"/>
      <c r="S15" s="3" t="n"/>
    </row>
    <row r="16" ht="20" customHeight="1">
      <c r="A16" s="4">
        <f>DATE(2024,12,10)</f>
        <v/>
      </c>
      <c r="B16" s="4" t="n">
        <v>10</v>
      </c>
      <c r="C16" s="4">
        <f>Q15</f>
        <v/>
      </c>
      <c r="D16" s="3" t="n"/>
      <c r="E16" s="3" t="n"/>
      <c r="F16" s="3" t="n"/>
      <c r="G16" s="3" t="n"/>
      <c r="H16" s="3" t="n"/>
      <c r="I16" s="3" t="n"/>
      <c r="J16" s="4">
        <f>SUM(D16:H16)+I16</f>
        <v/>
      </c>
      <c r="K16" s="3" t="n"/>
      <c r="L16" s="3" t="n"/>
      <c r="M16" s="3" t="n"/>
      <c r="N16" s="4">
        <f>SUM(K16:M16)</f>
        <v/>
      </c>
      <c r="O16" s="3" t="n"/>
      <c r="P16" s="3">
        <f>00_PARAMETROS!B5</f>
        <v/>
      </c>
      <c r="Q16" s="4">
        <f>C16+J16-N16</f>
        <v/>
      </c>
      <c r="R16" s="3" t="n"/>
      <c r="S16" s="3" t="n"/>
    </row>
    <row r="17" ht="20" customHeight="1">
      <c r="A17" s="4">
        <f>DATE(2024,12,11)</f>
        <v/>
      </c>
      <c r="B17" s="4" t="n">
        <v>11</v>
      </c>
      <c r="C17" s="4">
        <f>Q16</f>
        <v/>
      </c>
      <c r="D17" s="3" t="n"/>
      <c r="E17" s="3" t="n"/>
      <c r="F17" s="3" t="n"/>
      <c r="G17" s="3" t="n"/>
      <c r="H17" s="3" t="n"/>
      <c r="I17" s="3" t="n"/>
      <c r="J17" s="4">
        <f>SUM(D17:H17)+I17</f>
        <v/>
      </c>
      <c r="K17" s="3" t="n"/>
      <c r="L17" s="3" t="n"/>
      <c r="M17" s="3" t="n"/>
      <c r="N17" s="4">
        <f>SUM(K17:M17)</f>
        <v/>
      </c>
      <c r="O17" s="3" t="n"/>
      <c r="P17" s="3">
        <f>00_PARAMETROS!B5</f>
        <v/>
      </c>
      <c r="Q17" s="4">
        <f>C17+J17-N17</f>
        <v/>
      </c>
      <c r="R17" s="3" t="n"/>
      <c r="S17" s="3" t="n"/>
    </row>
    <row r="18" ht="20" customHeight="1">
      <c r="A18" s="4">
        <f>DATE(2024,12,12)</f>
        <v/>
      </c>
      <c r="B18" s="4" t="n">
        <v>12</v>
      </c>
      <c r="C18" s="4">
        <f>Q17</f>
        <v/>
      </c>
      <c r="D18" s="3" t="n"/>
      <c r="E18" s="3" t="n"/>
      <c r="F18" s="3" t="n"/>
      <c r="G18" s="3" t="n"/>
      <c r="H18" s="3" t="n"/>
      <c r="I18" s="3" t="n"/>
      <c r="J18" s="4">
        <f>SUM(D18:H18)+I18</f>
        <v/>
      </c>
      <c r="K18" s="3" t="n"/>
      <c r="L18" s="3" t="n"/>
      <c r="M18" s="3" t="n"/>
      <c r="N18" s="4">
        <f>SUM(K18:M18)</f>
        <v/>
      </c>
      <c r="O18" s="3" t="n"/>
      <c r="P18" s="3">
        <f>00_PARAMETROS!B5</f>
        <v/>
      </c>
      <c r="Q18" s="4">
        <f>C18+J18-N18</f>
        <v/>
      </c>
      <c r="R18" s="3" t="n"/>
      <c r="S18" s="3" t="n"/>
    </row>
    <row r="19" ht="20" customHeight="1">
      <c r="A19" s="4">
        <f>DATE(2024,12,13)</f>
        <v/>
      </c>
      <c r="B19" s="4" t="n">
        <v>13</v>
      </c>
      <c r="C19" s="4">
        <f>Q18</f>
        <v/>
      </c>
      <c r="D19" s="3" t="n"/>
      <c r="E19" s="3" t="n"/>
      <c r="F19" s="3" t="n"/>
      <c r="G19" s="3" t="n"/>
      <c r="H19" s="3" t="n"/>
      <c r="I19" s="3" t="n"/>
      <c r="J19" s="4">
        <f>SUM(D19:H19)+I19</f>
        <v/>
      </c>
      <c r="K19" s="3" t="n"/>
      <c r="L19" s="3" t="n"/>
      <c r="M19" s="3" t="n"/>
      <c r="N19" s="4">
        <f>SUM(K19:M19)</f>
        <v/>
      </c>
      <c r="O19" s="3" t="n"/>
      <c r="P19" s="3">
        <f>00_PARAMETROS!B5</f>
        <v/>
      </c>
      <c r="Q19" s="4">
        <f>C19+J19-N19</f>
        <v/>
      </c>
      <c r="R19" s="3" t="n"/>
      <c r="S19" s="3" t="n"/>
    </row>
    <row r="20" ht="20" customHeight="1">
      <c r="A20" s="4">
        <f>DATE(2024,12,14)</f>
        <v/>
      </c>
      <c r="B20" s="4" t="n">
        <v>14</v>
      </c>
      <c r="C20" s="4">
        <f>Q19</f>
        <v/>
      </c>
      <c r="D20" s="3" t="n"/>
      <c r="E20" s="3" t="n"/>
      <c r="F20" s="3" t="n"/>
      <c r="G20" s="3" t="n"/>
      <c r="H20" s="3" t="n"/>
      <c r="I20" s="3" t="n"/>
      <c r="J20" s="4">
        <f>SUM(D20:H20)+I20</f>
        <v/>
      </c>
      <c r="K20" s="3" t="n"/>
      <c r="L20" s="3" t="n"/>
      <c r="M20" s="3" t="n"/>
      <c r="N20" s="4">
        <f>SUM(K20:M20)</f>
        <v/>
      </c>
      <c r="O20" s="3" t="n"/>
      <c r="P20" s="3">
        <f>00_PARAMETROS!B5</f>
        <v/>
      </c>
      <c r="Q20" s="4">
        <f>C20+J20-N20</f>
        <v/>
      </c>
      <c r="R20" s="3" t="n"/>
      <c r="S20" s="3" t="n"/>
    </row>
    <row r="21" ht="20" customHeight="1">
      <c r="A21" s="4">
        <f>DATE(2024,12,15)</f>
        <v/>
      </c>
      <c r="B21" s="4" t="n">
        <v>15</v>
      </c>
      <c r="C21" s="4">
        <f>Q20</f>
        <v/>
      </c>
      <c r="D21" s="3" t="n"/>
      <c r="E21" s="3" t="n"/>
      <c r="F21" s="3" t="n"/>
      <c r="G21" s="3" t="n"/>
      <c r="H21" s="3" t="n"/>
      <c r="I21" s="3" t="n"/>
      <c r="J21" s="4">
        <f>SUM(D21:H21)+I21</f>
        <v/>
      </c>
      <c r="K21" s="3" t="n"/>
      <c r="L21" s="3" t="n"/>
      <c r="M21" s="3" t="n"/>
      <c r="N21" s="4">
        <f>SUM(K21:M21)</f>
        <v/>
      </c>
      <c r="O21" s="3" t="n"/>
      <c r="P21" s="3">
        <f>00_PARAMETROS!B5</f>
        <v/>
      </c>
      <c r="Q21" s="4">
        <f>C21+J21-N21</f>
        <v/>
      </c>
      <c r="R21" s="3" t="n"/>
      <c r="S21" s="3" t="n"/>
    </row>
    <row r="22" ht="20" customHeight="1">
      <c r="A22" s="4">
        <f>DATE(2024,12,16)</f>
        <v/>
      </c>
      <c r="B22" s="4" t="n">
        <v>16</v>
      </c>
      <c r="C22" s="4">
        <f>Q21</f>
        <v/>
      </c>
      <c r="D22" s="3" t="n"/>
      <c r="E22" s="3" t="n"/>
      <c r="F22" s="3" t="n"/>
      <c r="G22" s="3" t="n"/>
      <c r="H22" s="3" t="n"/>
      <c r="I22" s="3" t="n"/>
      <c r="J22" s="4">
        <f>SUM(D22:H22)+I22</f>
        <v/>
      </c>
      <c r="K22" s="3" t="n"/>
      <c r="L22" s="3" t="n"/>
      <c r="M22" s="3" t="n"/>
      <c r="N22" s="4">
        <f>SUM(K22:M22)</f>
        <v/>
      </c>
      <c r="O22" s="3" t="n"/>
      <c r="P22" s="3">
        <f>00_PARAMETROS!B5</f>
        <v/>
      </c>
      <c r="Q22" s="4">
        <f>C22+J22-N22</f>
        <v/>
      </c>
      <c r="R22" s="3" t="n"/>
      <c r="S22" s="3" t="n"/>
    </row>
    <row r="23" ht="20" customHeight="1">
      <c r="A23" s="4">
        <f>DATE(2024,12,17)</f>
        <v/>
      </c>
      <c r="B23" s="4" t="n">
        <v>17</v>
      </c>
      <c r="C23" s="4">
        <f>Q22</f>
        <v/>
      </c>
      <c r="D23" s="3" t="n"/>
      <c r="E23" s="3" t="n"/>
      <c r="F23" s="3" t="n"/>
      <c r="G23" s="3" t="n"/>
      <c r="H23" s="3" t="n"/>
      <c r="I23" s="3" t="n"/>
      <c r="J23" s="4">
        <f>SUM(D23:H23)+I23</f>
        <v/>
      </c>
      <c r="K23" s="3" t="n"/>
      <c r="L23" s="3" t="n"/>
      <c r="M23" s="3" t="n"/>
      <c r="N23" s="4">
        <f>SUM(K23:M23)</f>
        <v/>
      </c>
      <c r="O23" s="3" t="n"/>
      <c r="P23" s="3">
        <f>00_PARAMETROS!B5</f>
        <v/>
      </c>
      <c r="Q23" s="4">
        <f>C23+J23-N23</f>
        <v/>
      </c>
      <c r="R23" s="3" t="n"/>
      <c r="S23" s="3" t="n"/>
    </row>
    <row r="24" ht="20" customHeight="1">
      <c r="A24" s="4">
        <f>DATE(2024,12,18)</f>
        <v/>
      </c>
      <c r="B24" s="4" t="n">
        <v>18</v>
      </c>
      <c r="C24" s="4">
        <f>Q23</f>
        <v/>
      </c>
      <c r="D24" s="3" t="n"/>
      <c r="E24" s="3" t="n"/>
      <c r="F24" s="3" t="n"/>
      <c r="G24" s="3" t="n"/>
      <c r="H24" s="3" t="n"/>
      <c r="I24" s="3" t="n"/>
      <c r="J24" s="4">
        <f>SUM(D24:H24)+I24</f>
        <v/>
      </c>
      <c r="K24" s="3" t="n"/>
      <c r="L24" s="3" t="n"/>
      <c r="M24" s="3" t="n"/>
      <c r="N24" s="4">
        <f>SUM(K24:M24)</f>
        <v/>
      </c>
      <c r="O24" s="3" t="n"/>
      <c r="P24" s="3">
        <f>00_PARAMETROS!B5</f>
        <v/>
      </c>
      <c r="Q24" s="4">
        <f>C24+J24-N24</f>
        <v/>
      </c>
      <c r="R24" s="3" t="n"/>
      <c r="S24" s="3" t="n"/>
    </row>
    <row r="25" ht="20" customHeight="1">
      <c r="A25" s="4">
        <f>DATE(2024,12,19)</f>
        <v/>
      </c>
      <c r="B25" s="4" t="n">
        <v>19</v>
      </c>
      <c r="C25" s="4">
        <f>Q24</f>
        <v/>
      </c>
      <c r="D25" s="3" t="n"/>
      <c r="E25" s="3" t="n"/>
      <c r="F25" s="3" t="n"/>
      <c r="G25" s="3" t="n"/>
      <c r="H25" s="3" t="n"/>
      <c r="I25" s="3" t="n"/>
      <c r="J25" s="4">
        <f>SUM(D25:H25)+I25</f>
        <v/>
      </c>
      <c r="K25" s="3" t="n"/>
      <c r="L25" s="3" t="n"/>
      <c r="M25" s="3" t="n"/>
      <c r="N25" s="4">
        <f>SUM(K25:M25)</f>
        <v/>
      </c>
      <c r="O25" s="3" t="n"/>
      <c r="P25" s="3">
        <f>00_PARAMETROS!B5</f>
        <v/>
      </c>
      <c r="Q25" s="4">
        <f>C25+J25-N25</f>
        <v/>
      </c>
      <c r="R25" s="3" t="n"/>
      <c r="S25" s="3" t="n"/>
    </row>
    <row r="26" ht="20" customHeight="1">
      <c r="A26" s="4">
        <f>DATE(2024,12,20)</f>
        <v/>
      </c>
      <c r="B26" s="4" t="n">
        <v>20</v>
      </c>
      <c r="C26" s="4">
        <f>Q25</f>
        <v/>
      </c>
      <c r="D26" s="3" t="n"/>
      <c r="E26" s="3" t="n"/>
      <c r="F26" s="3" t="n"/>
      <c r="G26" s="3" t="n"/>
      <c r="H26" s="3" t="n"/>
      <c r="I26" s="3" t="n"/>
      <c r="J26" s="4">
        <f>SUM(D26:H26)+I26</f>
        <v/>
      </c>
      <c r="K26" s="3" t="n"/>
      <c r="L26" s="3" t="n"/>
      <c r="M26" s="3" t="n"/>
      <c r="N26" s="4">
        <f>SUM(K26:M26)</f>
        <v/>
      </c>
      <c r="O26" s="3" t="n"/>
      <c r="P26" s="3">
        <f>00_PARAMETROS!B5</f>
        <v/>
      </c>
      <c r="Q26" s="4">
        <f>C26+J26-N26</f>
        <v/>
      </c>
      <c r="R26" s="3" t="n"/>
      <c r="S26" s="3" t="n"/>
    </row>
    <row r="27" ht="20" customHeight="1">
      <c r="A27" s="4">
        <f>DATE(2024,12,21)</f>
        <v/>
      </c>
      <c r="B27" s="4" t="n">
        <v>21</v>
      </c>
      <c r="C27" s="4">
        <f>Q26</f>
        <v/>
      </c>
      <c r="D27" s="3" t="n"/>
      <c r="E27" s="3" t="n"/>
      <c r="F27" s="3" t="n"/>
      <c r="G27" s="3" t="n"/>
      <c r="H27" s="3" t="n"/>
      <c r="I27" s="3" t="n"/>
      <c r="J27" s="4">
        <f>SUM(D27:H27)+I27</f>
        <v/>
      </c>
      <c r="K27" s="3" t="n"/>
      <c r="L27" s="3" t="n"/>
      <c r="M27" s="3" t="n"/>
      <c r="N27" s="4">
        <f>SUM(K27:M27)</f>
        <v/>
      </c>
      <c r="O27" s="3" t="n"/>
      <c r="P27" s="3">
        <f>00_PARAMETROS!B5</f>
        <v/>
      </c>
      <c r="Q27" s="4">
        <f>C27+J27-N27</f>
        <v/>
      </c>
      <c r="R27" s="3" t="n"/>
      <c r="S27" s="3" t="n"/>
    </row>
    <row r="28" ht="20" customHeight="1">
      <c r="A28" s="4">
        <f>DATE(2024,12,22)</f>
        <v/>
      </c>
      <c r="B28" s="4" t="n">
        <v>22</v>
      </c>
      <c r="C28" s="4">
        <f>Q27</f>
        <v/>
      </c>
      <c r="D28" s="3" t="n"/>
      <c r="E28" s="3" t="n"/>
      <c r="F28" s="3" t="n"/>
      <c r="G28" s="3" t="n"/>
      <c r="H28" s="3" t="n"/>
      <c r="I28" s="3" t="n"/>
      <c r="J28" s="4">
        <f>SUM(D28:H28)+I28</f>
        <v/>
      </c>
      <c r="K28" s="3" t="n"/>
      <c r="L28" s="3" t="n"/>
      <c r="M28" s="3" t="n"/>
      <c r="N28" s="4">
        <f>SUM(K28:M28)</f>
        <v/>
      </c>
      <c r="O28" s="3" t="n"/>
      <c r="P28" s="3">
        <f>00_PARAMETROS!B5</f>
        <v/>
      </c>
      <c r="Q28" s="4">
        <f>C28+J28-N28</f>
        <v/>
      </c>
      <c r="R28" s="3" t="n"/>
      <c r="S28" s="3" t="n"/>
    </row>
    <row r="29" ht="20" customHeight="1">
      <c r="A29" s="4">
        <f>DATE(2024,12,23)</f>
        <v/>
      </c>
      <c r="B29" s="4" t="n">
        <v>23</v>
      </c>
      <c r="C29" s="4">
        <f>Q28</f>
        <v/>
      </c>
      <c r="D29" s="3" t="n"/>
      <c r="E29" s="3" t="n"/>
      <c r="F29" s="3" t="n"/>
      <c r="G29" s="3" t="n"/>
      <c r="H29" s="3" t="n"/>
      <c r="I29" s="3" t="n"/>
      <c r="J29" s="4">
        <f>SUM(D29:H29)+I29</f>
        <v/>
      </c>
      <c r="K29" s="3" t="n"/>
      <c r="L29" s="3" t="n"/>
      <c r="M29" s="3" t="n"/>
      <c r="N29" s="4">
        <f>SUM(K29:M29)</f>
        <v/>
      </c>
      <c r="O29" s="3" t="n"/>
      <c r="P29" s="3">
        <f>00_PARAMETROS!B5</f>
        <v/>
      </c>
      <c r="Q29" s="4">
        <f>C29+J29-N29</f>
        <v/>
      </c>
      <c r="R29" s="3" t="n"/>
      <c r="S29" s="3" t="n"/>
    </row>
    <row r="30" ht="20" customHeight="1">
      <c r="A30" s="4">
        <f>DATE(2024,12,24)</f>
        <v/>
      </c>
      <c r="B30" s="4" t="n">
        <v>24</v>
      </c>
      <c r="C30" s="4">
        <f>Q29</f>
        <v/>
      </c>
      <c r="D30" s="3" t="n"/>
      <c r="E30" s="3" t="n"/>
      <c r="F30" s="3" t="n"/>
      <c r="G30" s="3" t="n"/>
      <c r="H30" s="3" t="n"/>
      <c r="I30" s="3" t="n"/>
      <c r="J30" s="4">
        <f>SUM(D30:H30)+I30</f>
        <v/>
      </c>
      <c r="K30" s="3" t="n"/>
      <c r="L30" s="3" t="n"/>
      <c r="M30" s="3" t="n"/>
      <c r="N30" s="4">
        <f>SUM(K30:M30)</f>
        <v/>
      </c>
      <c r="O30" s="3" t="n"/>
      <c r="P30" s="3">
        <f>00_PARAMETROS!B5</f>
        <v/>
      </c>
      <c r="Q30" s="4">
        <f>C30+J30-N30</f>
        <v/>
      </c>
      <c r="R30" s="3" t="n"/>
      <c r="S30" s="3" t="n"/>
    </row>
    <row r="31" ht="20" customHeight="1">
      <c r="A31" s="4">
        <f>DATE(2024,12,25)</f>
        <v/>
      </c>
      <c r="B31" s="4" t="n">
        <v>25</v>
      </c>
      <c r="C31" s="4">
        <f>Q30</f>
        <v/>
      </c>
      <c r="D31" s="3" t="n"/>
      <c r="E31" s="3" t="n"/>
      <c r="F31" s="3" t="n"/>
      <c r="G31" s="3" t="n"/>
      <c r="H31" s="3" t="n"/>
      <c r="I31" s="3" t="n"/>
      <c r="J31" s="4">
        <f>SUM(D31:H31)+I31</f>
        <v/>
      </c>
      <c r="K31" s="3" t="n"/>
      <c r="L31" s="3" t="n"/>
      <c r="M31" s="3" t="n"/>
      <c r="N31" s="4">
        <f>SUM(K31:M31)</f>
        <v/>
      </c>
      <c r="O31" s="3" t="n"/>
      <c r="P31" s="3">
        <f>00_PARAMETROS!B5</f>
        <v/>
      </c>
      <c r="Q31" s="4">
        <f>C31+J31-N31</f>
        <v/>
      </c>
      <c r="R31" s="3" t="n"/>
      <c r="S31" s="3" t="n"/>
    </row>
    <row r="32" ht="20" customHeight="1">
      <c r="A32" s="4">
        <f>DATE(2024,12,26)</f>
        <v/>
      </c>
      <c r="B32" s="4" t="n">
        <v>26</v>
      </c>
      <c r="C32" s="4">
        <f>Q31</f>
        <v/>
      </c>
      <c r="D32" s="3" t="n"/>
      <c r="E32" s="3" t="n"/>
      <c r="F32" s="3" t="n"/>
      <c r="G32" s="3" t="n"/>
      <c r="H32" s="3" t="n"/>
      <c r="I32" s="3" t="n"/>
      <c r="J32" s="4">
        <f>SUM(D32:H32)+I32</f>
        <v/>
      </c>
      <c r="K32" s="3" t="n"/>
      <c r="L32" s="3" t="n"/>
      <c r="M32" s="3" t="n"/>
      <c r="N32" s="4">
        <f>SUM(K32:M32)</f>
        <v/>
      </c>
      <c r="O32" s="3" t="n"/>
      <c r="P32" s="3">
        <f>00_PARAMETROS!B5</f>
        <v/>
      </c>
      <c r="Q32" s="4">
        <f>C32+J32-N32</f>
        <v/>
      </c>
      <c r="R32" s="3" t="n"/>
      <c r="S32" s="3" t="n"/>
    </row>
    <row r="33" ht="20" customHeight="1">
      <c r="A33" s="4">
        <f>DATE(2024,12,27)</f>
        <v/>
      </c>
      <c r="B33" s="4" t="n">
        <v>27</v>
      </c>
      <c r="C33" s="4">
        <f>Q32</f>
        <v/>
      </c>
      <c r="D33" s="3" t="n"/>
      <c r="E33" s="3" t="n"/>
      <c r="F33" s="3" t="n"/>
      <c r="G33" s="3" t="n"/>
      <c r="H33" s="3" t="n"/>
      <c r="I33" s="3" t="n"/>
      <c r="J33" s="4">
        <f>SUM(D33:H33)+I33</f>
        <v/>
      </c>
      <c r="K33" s="3" t="n"/>
      <c r="L33" s="3" t="n"/>
      <c r="M33" s="3" t="n"/>
      <c r="N33" s="4">
        <f>SUM(K33:M33)</f>
        <v/>
      </c>
      <c r="O33" s="3" t="n"/>
      <c r="P33" s="3">
        <f>00_PARAMETROS!B5</f>
        <v/>
      </c>
      <c r="Q33" s="4">
        <f>C33+J33-N33</f>
        <v/>
      </c>
      <c r="R33" s="3" t="n"/>
      <c r="S33" s="3" t="n"/>
    </row>
    <row r="34" ht="20" customHeight="1">
      <c r="A34" s="4">
        <f>DATE(2024,12,28)</f>
        <v/>
      </c>
      <c r="B34" s="4" t="n">
        <v>28</v>
      </c>
      <c r="C34" s="4">
        <f>Q33</f>
        <v/>
      </c>
      <c r="D34" s="3" t="n"/>
      <c r="E34" s="3" t="n"/>
      <c r="F34" s="3" t="n"/>
      <c r="G34" s="3" t="n"/>
      <c r="H34" s="3" t="n"/>
      <c r="I34" s="3" t="n"/>
      <c r="J34" s="4">
        <f>SUM(D34:H34)+I34</f>
        <v/>
      </c>
      <c r="K34" s="3" t="n"/>
      <c r="L34" s="3" t="n"/>
      <c r="M34" s="3" t="n"/>
      <c r="N34" s="4">
        <f>SUM(K34:M34)</f>
        <v/>
      </c>
      <c r="O34" s="3" t="n"/>
      <c r="P34" s="3">
        <f>00_PARAMETROS!B5</f>
        <v/>
      </c>
      <c r="Q34" s="4">
        <f>C34+J34-N34</f>
        <v/>
      </c>
      <c r="R34" s="3" t="n"/>
      <c r="S34" s="3" t="n"/>
    </row>
    <row r="35" ht="20" customHeight="1">
      <c r="A35" s="4">
        <f>DATE(2024,12,29)</f>
        <v/>
      </c>
      <c r="B35" s="4" t="n">
        <v>29</v>
      </c>
      <c r="C35" s="4">
        <f>Q34</f>
        <v/>
      </c>
      <c r="D35" s="3" t="n"/>
      <c r="E35" s="3" t="n"/>
      <c r="F35" s="3" t="n"/>
      <c r="G35" s="3" t="n"/>
      <c r="H35" s="3" t="n"/>
      <c r="I35" s="3" t="n"/>
      <c r="J35" s="4">
        <f>SUM(D35:H35)+I35</f>
        <v/>
      </c>
      <c r="K35" s="3" t="n"/>
      <c r="L35" s="3" t="n"/>
      <c r="M35" s="3" t="n"/>
      <c r="N35" s="4">
        <f>SUM(K35:M35)</f>
        <v/>
      </c>
      <c r="O35" s="3" t="n"/>
      <c r="P35" s="3">
        <f>00_PARAMETROS!B5</f>
        <v/>
      </c>
      <c r="Q35" s="4">
        <f>C35+J35-N35</f>
        <v/>
      </c>
      <c r="R35" s="3" t="n"/>
      <c r="S35" s="3" t="n"/>
    </row>
    <row r="36" ht="20" customHeight="1">
      <c r="A36" s="4">
        <f>DATE(2024,12,30)</f>
        <v/>
      </c>
      <c r="B36" s="4" t="n">
        <v>30</v>
      </c>
      <c r="C36" s="4">
        <f>Q35</f>
        <v/>
      </c>
      <c r="D36" s="3" t="n"/>
      <c r="E36" s="3" t="n"/>
      <c r="F36" s="3" t="n"/>
      <c r="G36" s="3" t="n"/>
      <c r="H36" s="3" t="n"/>
      <c r="I36" s="3" t="n"/>
      <c r="J36" s="4">
        <f>SUM(D36:H36)+I36</f>
        <v/>
      </c>
      <c r="K36" s="3" t="n"/>
      <c r="L36" s="3" t="n"/>
      <c r="M36" s="3" t="n"/>
      <c r="N36" s="4">
        <f>SUM(K36:M36)</f>
        <v/>
      </c>
      <c r="O36" s="3" t="n"/>
      <c r="P36" s="3">
        <f>00_PARAMETROS!B5</f>
        <v/>
      </c>
      <c r="Q36" s="4">
        <f>C36+J36-N36</f>
        <v/>
      </c>
      <c r="R36" s="3" t="n"/>
      <c r="S36" s="3" t="n"/>
    </row>
    <row r="37" ht="20" customHeight="1">
      <c r="A37" s="4">
        <f>DATE(2024,12,31)</f>
        <v/>
      </c>
      <c r="B37" s="4" t="n">
        <v>31</v>
      </c>
      <c r="C37" s="4">
        <f>Q36</f>
        <v/>
      </c>
      <c r="D37" s="3" t="n"/>
      <c r="E37" s="3" t="n"/>
      <c r="F37" s="3" t="n"/>
      <c r="G37" s="3" t="n"/>
      <c r="H37" s="3" t="n"/>
      <c r="I37" s="3" t="n"/>
      <c r="J37" s="4">
        <f>SUM(D37:H37)+I37</f>
        <v/>
      </c>
      <c r="K37" s="3" t="n"/>
      <c r="L37" s="3" t="n"/>
      <c r="M37" s="3" t="n"/>
      <c r="N37" s="4">
        <f>SUM(K37:M37)</f>
        <v/>
      </c>
      <c r="O37" s="3" t="n"/>
      <c r="P37" s="3">
        <f>00_PARAMETROS!B5</f>
        <v/>
      </c>
      <c r="Q37" s="4">
        <f>C37+J37-N37</f>
        <v/>
      </c>
      <c r="R37" s="3" t="n"/>
      <c r="S37" s="3" t="n"/>
    </row>
    <row r="38" ht="20" customHeight="1">
      <c r="A38" s="2" t="inlineStr">
        <is>
          <t>TOTAL</t>
        </is>
      </c>
      <c r="B38" s="7" t="n"/>
      <c r="C38" s="7" t="n"/>
      <c r="D38" s="8">
        <f>SUM(D7:D37)</f>
        <v/>
      </c>
      <c r="E38" s="8">
        <f>SUM(E7:E37)</f>
        <v/>
      </c>
      <c r="F38" s="8">
        <f>SUM(F7:F37)</f>
        <v/>
      </c>
      <c r="G38" s="8">
        <f>SUM(G7:G37)</f>
        <v/>
      </c>
      <c r="H38" s="8">
        <f>SUM(H7:H37)</f>
        <v/>
      </c>
      <c r="I38" s="8">
        <f>SUM(I7:I37)</f>
        <v/>
      </c>
      <c r="J38" s="8">
        <f>SUM(J7:J37)</f>
        <v/>
      </c>
      <c r="K38" s="8">
        <f>SUM(K7:K37)</f>
        <v/>
      </c>
      <c r="L38" s="8">
        <f>SUM(L7:L37)</f>
        <v/>
      </c>
      <c r="M38" s="8">
        <f>SUM(M7:M37)</f>
        <v/>
      </c>
      <c r="N38" s="8">
        <f>SUM(N7:N37)</f>
        <v/>
      </c>
      <c r="O38" s="8">
        <f>SUM(O7:O37)</f>
        <v/>
      </c>
      <c r="P38" s="8">
        <f>SUM(P7:P37)</f>
        <v/>
      </c>
      <c r="Q38" s="8">
        <f>SUM(Q7:Q37)</f>
        <v/>
      </c>
      <c r="R38" s="8">
        <f>SUM(R7:R37)</f>
        <v/>
      </c>
      <c r="S38" s="8">
        <f>SUM(S7:S37)</f>
        <v/>
      </c>
    </row>
    <row r="39" ht="20" customHeight="1"/>
    <row r="40" ht="20" customHeight="1"/>
    <row r="41" ht="20" customHeight="1">
      <c r="A41" s="2" t="inlineStr">
        <is>
          <t>RESUMEN DEL MES</t>
        </is>
      </c>
      <c r="B41" s="9" t="n"/>
      <c r="C41" s="9" t="n"/>
      <c r="D41" s="10" t="n"/>
    </row>
    <row r="42" ht="20" customHeight="1">
      <c r="A42" s="11" t="inlineStr">
        <is>
          <t>Ingresos</t>
        </is>
      </c>
      <c r="B42" s="4">
        <f>J38</f>
        <v/>
      </c>
    </row>
    <row r="43" ht="20" customHeight="1">
      <c r="A43" s="11" t="inlineStr">
        <is>
          <t>Altas al hogar / otro hosp.</t>
        </is>
      </c>
      <c r="B43" s="4">
        <f>K38</f>
        <v/>
      </c>
    </row>
    <row r="44" ht="20" customHeight="1">
      <c r="A44" s="11" t="inlineStr">
        <is>
          <t>Traslados a otro servicio</t>
        </is>
      </c>
      <c r="B44" s="4">
        <f>L38</f>
        <v/>
      </c>
    </row>
    <row r="45" ht="20" customHeight="1">
      <c r="A45" s="11" t="inlineStr">
        <is>
          <t>Fallecidos</t>
        </is>
      </c>
      <c r="B45" s="4">
        <f>M38</f>
        <v/>
      </c>
    </row>
    <row r="46" ht="20" customHeight="1">
      <c r="A46" s="11" t="inlineStr">
        <is>
          <t>Total egresos</t>
        </is>
      </c>
      <c r="B46" s="4">
        <f>N38</f>
        <v/>
      </c>
    </row>
    <row r="47" ht="20" customHeight="1">
      <c r="A47" s="11" t="inlineStr">
        <is>
          <t>Pacientes atendidos del mes</t>
        </is>
      </c>
      <c r="B47" s="4">
        <f>C7+J38</f>
        <v/>
      </c>
    </row>
    <row r="48" ht="20" customHeight="1">
      <c r="A48" s="11" t="inlineStr">
        <is>
          <t>Dias personas atendidas</t>
        </is>
      </c>
      <c r="B48" s="4">
        <f>R38</f>
        <v/>
      </c>
    </row>
    <row r="49" ht="20" customHeight="1">
      <c r="A49" s="11" t="inlineStr">
        <is>
          <t>Indice ocupacional %</t>
        </is>
      </c>
      <c r="B49" s="12">
        <f>IFERROR(Q38/P38,"")</f>
        <v/>
      </c>
    </row>
    <row r="50" ht="20" customHeight="1">
      <c r="A50" s="11" t="inlineStr">
        <is>
          <t>Promedio dia de estada</t>
        </is>
      </c>
      <c r="B50" s="13">
        <f>IFERROR(R38/N38,"")</f>
        <v/>
      </c>
    </row>
  </sheetData>
  <sheetProtection selectLockedCells="1" selectUnlockedCells="1" sheet="1" objects="0" insertRows="1" insertHyperlinks="1" autoFilter="1" scenarios="0" formatColumns="1" deleteColumns="1" insertColumns="1" pivotTables="1" deleteRows="1" formatCells="1" formatRows="1" sort="1" password="C752"/>
  <mergeCells count="3">
    <mergeCell ref="U1:W1"/>
    <mergeCell ref="A41:D41"/>
    <mergeCell ref="A1:S1"/>
  </mergeCells>
  <dataValidations count="1">
    <dataValidation sqref="D7 D8 D9 D10 D11 D12 D13 D14 D15 D16 D17 D18 D19 D20 D21 D22 D23 D24 D25 D26 D27 D28 D29 D30 D31 D32 D33 D34 D35 D36 D37 E7 E8 E9 E10 E11 E12 E13 E14 E15 E16 E17 E18 E19 E20 E21 E22 E23 E24 E25 E26 E27 E28 E29 E30 E31 E32 E33 E34 E35 E36 E37 F7 F8 F9 F10 F11 F12 F13 F14 F15 F16 F17 F18 F19 F20 F21 F22 F23 F24 F25 F26 F27 F28 F29 F30 F31 F32 F33 F34 F35 F36 F37 G7 G8 G9 G10 G11 G12 G13 G14 G15 G16 G17 G18 G19 G20 G21 G22 G23 G24 G25 G26 G27 G28 G29 G30 G31 G32 G33 G34 G35 G36 G37 H7 H8 H9 H10 H11 H12 H13 H14 H15 H16 H17 H18 H19 H20 H21 H22 H23 H24 H25 H26 H27 H28 H29 H30 H31 H32 H33 H34 H35 H36 H37 I7 I8 I9 I10 I11 I12 I13 I14 I15 I16 I17 I18 I19 I20 I21 I22 I23 I24 I25 I26 I27 I28 I29 I30 I31 I32 I33 I34 I35 I36 I37 K7 K8 K9 K10 K11 K12 K13 K14 K15 K16 K17 K18 K19 K20 K21 K22 K23 K24 K25 K26 K27 K28 K29 K30 K31 K32 K33 K34 K35 K36 K37 L7 L8 L9 L10 L11 L12 L13 L14 L15 L16 L17 L18 L19 L20 L21 L22 L23 L24 L25 L26 L27 L28 L29 L30 L31 L32 L33 L34 L35 L36 L37 M7 M8 M9 M10 M11 M12 M13 M14 M15 M16 M17 M18 M19 M20 M21 M22 M23 M24 M25 M26 M27 M28 M29 M30 M31 M32 M33 M34 M35 M36 M37 O7 O8 O9 O10 O11 O12 O13 O14 O15 O16 O17 O18 O19 O20 O21 O22 O23 O24 O25 O26 O27 O28 O29 O30 O31 O32 O33 O34 O35 O36 O37 P7 P8 P9 P10 P11 P12 P13 P14 P15 P16 P17 P18 P19 P20 P21 P22 P23 P24 P25 P26 P27 P28 P29 P30 P31 P32 P33 P34 P35 P36 P37 R7 R8 R9 R10 R11 R12 R13 R14 R15 R16 R17 R18 R19 R20 R21 R22 R23 R24 R25 R26 R27 R28 R29 R30 R31 R32 R33 R34 R35 R36 R37 S7 S8 S9 S10 S11 S12 S13 S14 S15 S16 S17 S18 S19 S20 S21 S22 S23 S24 S25 S26 S27 S28 S29 S30 S31 S32 S33 S34 S35 S36 S37" showDropDown="0" showInputMessage="0" showErrorMessage="0" allowBlank="1" prompt="Ingresa un numero entero mayor o igual a 0." type="whole" operator="greaterThanOrEqual">
      <formula1>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50"/>
  <sheetViews>
    <sheetView showGridLines="1" workbookViewId="0">
      <pane ySplit="6" topLeftCell="A7" activePane="bottomLeft" state="frozen"/>
      <selection pane="bottomLeft" activeCell="A1" sqref="A1"/>
    </sheetView>
  </sheetViews>
  <sheetFormatPr baseColWidth="8" defaultRowHeight="15"/>
  <cols>
    <col width="13" customWidth="1" min="1" max="1"/>
    <col width="7" customWidth="1" min="2" max="2"/>
    <col width="20" customWidth="1" min="3" max="3"/>
    <col width="13" customWidth="1" min="4" max="4"/>
    <col width="18" customWidth="1" min="5" max="5"/>
    <col width="15" customWidth="1" min="6" max="6"/>
    <col width="16" customWidth="1" min="7" max="7"/>
    <col width="10" customWidth="1" min="8" max="8"/>
    <col width="15" customWidth="1" min="9" max="9"/>
    <col width="13" customWidth="1" min="10" max="10"/>
    <col width="20" customWidth="1" min="11" max="11"/>
    <col width="22" customWidth="1" min="12" max="12"/>
    <col width="14" customWidth="1" min="13" max="13"/>
    <col width="13" customWidth="1" min="14" max="14"/>
    <col width="18" customWidth="1" min="15" max="15"/>
    <col width="18" customWidth="1" min="16" max="16"/>
    <col width="17" customWidth="1" min="17" max="17"/>
    <col width="16" customWidth="1" min="18" max="18"/>
    <col width="16" customWidth="1" min="19" max="19"/>
    <col width="34" customWidth="1" min="21" max="21"/>
    <col width="12" customWidth="1" min="22" max="22"/>
  </cols>
  <sheetData>
    <row r="1" ht="20" customHeight="1">
      <c r="A1" s="1" t="inlineStr">
        <is>
          <t>RESUMEN MENSUAL HODOM</t>
        </is>
      </c>
      <c r="U1" s="1" t="inlineStr">
        <is>
          <t>CONTROL</t>
        </is>
      </c>
    </row>
    <row r="2" ht="20" customHeight="1">
      <c r="A2" s="2" t="inlineStr">
        <is>
          <t>Servicio</t>
        </is>
      </c>
      <c r="B2" s="4">
        <f>00_PARAMETROS!B3</f>
        <v/>
      </c>
      <c r="C2" s="2" t="inlineStr">
        <is>
          <t>Codigo</t>
        </is>
      </c>
      <c r="D2" s="4">
        <f>00_PARAMETROS!B4</f>
        <v/>
      </c>
      <c r="E2" s="2" t="inlineStr">
        <is>
          <t>Mes</t>
        </is>
      </c>
      <c r="F2" s="3" t="inlineStr">
        <is>
          <t>ENERO</t>
        </is>
      </c>
      <c r="G2" s="2" t="inlineStr">
        <is>
          <t>Ano</t>
        </is>
      </c>
      <c r="H2" s="3" t="n">
        <v>2025</v>
      </c>
    </row>
    <row r="3" ht="20" customHeight="1">
      <c r="A3" s="2" t="inlineStr">
        <is>
          <t>Camas base</t>
        </is>
      </c>
      <c r="B3" s="4">
        <f>00_PARAMETROS!B5</f>
        <v/>
      </c>
      <c r="C3" s="2" t="inlineStr">
        <is>
          <t>Promedio camas</t>
        </is>
      </c>
      <c r="D3" s="4">
        <f>AVERAGE(P7:P37)</f>
        <v/>
      </c>
      <c r="E3" s="2" t="inlineStr">
        <is>
          <t>Dias del mes</t>
        </is>
      </c>
      <c r="F3" s="3" t="n">
        <v>31</v>
      </c>
      <c r="U3" s="5" t="inlineStr">
        <is>
          <t>Dias con ocupacion negativa</t>
        </is>
      </c>
      <c r="V3" s="4">
        <f>COUNTIF(Q7:Q37,"&lt;0")</f>
        <v/>
      </c>
    </row>
    <row r="4" ht="20" customHeight="1">
      <c r="U4" s="5" t="inlineStr">
        <is>
          <t>Dias sin camas disponibles</t>
        </is>
      </c>
      <c r="V4" s="4">
        <f>COUNTBLANK(P7:P37)</f>
        <v/>
      </c>
    </row>
    <row r="5" ht="20" customHeight="1">
      <c r="U5" s="5" t="inlineStr">
        <is>
          <t>Primer dia sin existencia inicial</t>
        </is>
      </c>
      <c r="V5" s="4">
        <f>IF(C7="",1,0)</f>
        <v/>
      </c>
    </row>
    <row r="6" ht="36" customHeight="1">
      <c r="A6" s="6" t="inlineStr">
        <is>
          <t>Fecha</t>
        </is>
      </c>
      <c r="B6" s="6" t="inlineStr">
        <is>
          <t>Dia</t>
        </is>
      </c>
      <c r="C6" s="6" t="inlineStr">
        <is>
          <t>Existencia dia anterior</t>
        </is>
      </c>
      <c r="D6" s="6" t="inlineStr">
        <is>
          <t>Ing. urgencia</t>
        </is>
      </c>
      <c r="E6" s="6" t="inlineStr">
        <is>
          <t>Ing. hospitalizacion</t>
        </is>
      </c>
      <c r="F6" s="6" t="inlineStr">
        <is>
          <t>Ing. ambulatorio</t>
        </is>
      </c>
      <c r="G6" s="6" t="inlineStr">
        <is>
          <t>Ing. ley urgencia</t>
        </is>
      </c>
      <c r="H6" s="6" t="inlineStr">
        <is>
          <t>Ing. UGCC</t>
        </is>
      </c>
      <c r="I6" s="6" t="inlineStr">
        <is>
          <t>Ing. por traslado</t>
        </is>
      </c>
      <c r="J6" s="6" t="inlineStr">
        <is>
          <t>Total ingresos</t>
        </is>
      </c>
      <c r="K6" s="6" t="inlineStr">
        <is>
          <t>Egr. alta hogar / otro hosp.</t>
        </is>
      </c>
      <c r="L6" s="6" t="inlineStr">
        <is>
          <t>Egr. traslado a otro servicio</t>
        </is>
      </c>
      <c r="M6" s="6" t="inlineStr">
        <is>
          <t>Egr. fallecidos</t>
        </is>
      </c>
      <c r="N6" s="6" t="inlineStr">
        <is>
          <t>Total egresos</t>
        </is>
      </c>
      <c r="O6" s="6" t="inlineStr">
        <is>
          <t>Ingr.-egr. mismo dia</t>
        </is>
      </c>
      <c r="P6" s="6" t="inlineStr">
        <is>
          <t>Dias cama disponibles</t>
        </is>
      </c>
      <c r="Q6" s="6" t="inlineStr">
        <is>
          <t>Dias cama ocupadas</t>
        </is>
      </c>
      <c r="R6" s="6" t="inlineStr">
        <is>
          <t>Dias estada total</t>
        </is>
      </c>
      <c r="S6" s="6" t="inlineStr">
        <is>
          <t>Dias estada benef.</t>
        </is>
      </c>
      <c r="U6" s="5" t="inlineStr">
        <is>
          <t>Dias con total ingresos manualmente alterado</t>
        </is>
      </c>
      <c r="V6" s="4" t="inlineStr">
        <is>
          <t>0</t>
        </is>
      </c>
    </row>
    <row r="7" ht="20" customHeight="1">
      <c r="A7" s="4">
        <f>DATE(2025,1,1)</f>
        <v/>
      </c>
      <c r="B7" s="4" t="n">
        <v>1</v>
      </c>
      <c r="C7" s="3" t="n"/>
      <c r="D7" s="3" t="n"/>
      <c r="E7" s="3" t="n"/>
      <c r="F7" s="3" t="n"/>
      <c r="G7" s="3" t="n"/>
      <c r="H7" s="3" t="n"/>
      <c r="I7" s="3" t="n"/>
      <c r="J7" s="4">
        <f>SUM(D7:H7)+I7</f>
        <v/>
      </c>
      <c r="K7" s="3" t="n"/>
      <c r="L7" s="3" t="n"/>
      <c r="M7" s="3" t="n"/>
      <c r="N7" s="4">
        <f>SUM(K7:M7)</f>
        <v/>
      </c>
      <c r="O7" s="3" t="n"/>
      <c r="P7" s="3">
        <f>00_PARAMETROS!B5</f>
        <v/>
      </c>
      <c r="Q7" s="4">
        <f>C7+J7-N7</f>
        <v/>
      </c>
      <c r="R7" s="3" t="n"/>
      <c r="S7" s="3" t="n"/>
      <c r="U7" s="5" t="inlineStr">
        <is>
          <t>Dias con total egresos manualmente alterado</t>
        </is>
      </c>
      <c r="V7" s="4" t="inlineStr">
        <is>
          <t>0</t>
        </is>
      </c>
    </row>
    <row r="8" ht="20" customHeight="1">
      <c r="A8" s="4">
        <f>DATE(2025,1,2)</f>
        <v/>
      </c>
      <c r="B8" s="4" t="n">
        <v>2</v>
      </c>
      <c r="C8" s="4">
        <f>Q7</f>
        <v/>
      </c>
      <c r="D8" s="3" t="n"/>
      <c r="E8" s="3" t="n"/>
      <c r="F8" s="3" t="n"/>
      <c r="G8" s="3" t="n"/>
      <c r="H8" s="3" t="n"/>
      <c r="I8" s="3" t="n"/>
      <c r="J8" s="4">
        <f>SUM(D8:H8)+I8</f>
        <v/>
      </c>
      <c r="K8" s="3" t="n"/>
      <c r="L8" s="3" t="n"/>
      <c r="M8" s="3" t="n"/>
      <c r="N8" s="4">
        <f>SUM(K8:M8)</f>
        <v/>
      </c>
      <c r="O8" s="3" t="n"/>
      <c r="P8" s="3">
        <f>00_PARAMETROS!B5</f>
        <v/>
      </c>
      <c r="Q8" s="4">
        <f>C8+J8-N8</f>
        <v/>
      </c>
      <c r="R8" s="3" t="n"/>
      <c r="S8" s="3" t="n"/>
    </row>
    <row r="9" ht="20" customHeight="1">
      <c r="A9" s="4">
        <f>DATE(2025,1,3)</f>
        <v/>
      </c>
      <c r="B9" s="4" t="n">
        <v>3</v>
      </c>
      <c r="C9" s="4">
        <f>Q8</f>
        <v/>
      </c>
      <c r="D9" s="3" t="n"/>
      <c r="E9" s="3" t="n"/>
      <c r="F9" s="3" t="n"/>
      <c r="G9" s="3" t="n"/>
      <c r="H9" s="3" t="n"/>
      <c r="I9" s="3" t="n"/>
      <c r="J9" s="4">
        <f>SUM(D9:H9)+I9</f>
        <v/>
      </c>
      <c r="K9" s="3" t="n"/>
      <c r="L9" s="3" t="n"/>
      <c r="M9" s="3" t="n"/>
      <c r="N9" s="4">
        <f>SUM(K9:M9)</f>
        <v/>
      </c>
      <c r="O9" s="3" t="n"/>
      <c r="P9" s="3">
        <f>00_PARAMETROS!B5</f>
        <v/>
      </c>
      <c r="Q9" s="4">
        <f>C9+J9-N9</f>
        <v/>
      </c>
      <c r="R9" s="3" t="n"/>
      <c r="S9" s="3" t="n"/>
    </row>
    <row r="10" ht="20" customHeight="1">
      <c r="A10" s="4">
        <f>DATE(2025,1,4)</f>
        <v/>
      </c>
      <c r="B10" s="4" t="n">
        <v>4</v>
      </c>
      <c r="C10" s="4">
        <f>Q9</f>
        <v/>
      </c>
      <c r="D10" s="3" t="n"/>
      <c r="E10" s="3" t="n"/>
      <c r="F10" s="3" t="n"/>
      <c r="G10" s="3" t="n"/>
      <c r="H10" s="3" t="n"/>
      <c r="I10" s="3" t="n"/>
      <c r="J10" s="4">
        <f>SUM(D10:H10)+I10</f>
        <v/>
      </c>
      <c r="K10" s="3" t="n"/>
      <c r="L10" s="3" t="n"/>
      <c r="M10" s="3" t="n"/>
      <c r="N10" s="4">
        <f>SUM(K10:M10)</f>
        <v/>
      </c>
      <c r="O10" s="3" t="n"/>
      <c r="P10" s="3">
        <f>00_PARAMETROS!B5</f>
        <v/>
      </c>
      <c r="Q10" s="4">
        <f>C10+J10-N10</f>
        <v/>
      </c>
      <c r="R10" s="3" t="n"/>
      <c r="S10" s="3" t="n"/>
    </row>
    <row r="11" ht="20" customHeight="1">
      <c r="A11" s="4">
        <f>DATE(2025,1,5)</f>
        <v/>
      </c>
      <c r="B11" s="4" t="n">
        <v>5</v>
      </c>
      <c r="C11" s="4">
        <f>Q10</f>
        <v/>
      </c>
      <c r="D11" s="3" t="n"/>
      <c r="E11" s="3" t="n"/>
      <c r="F11" s="3" t="n"/>
      <c r="G11" s="3" t="n"/>
      <c r="H11" s="3" t="n"/>
      <c r="I11" s="3" t="n"/>
      <c r="J11" s="4">
        <f>SUM(D11:H11)+I11</f>
        <v/>
      </c>
      <c r="K11" s="3" t="n"/>
      <c r="L11" s="3" t="n"/>
      <c r="M11" s="3" t="n"/>
      <c r="N11" s="4">
        <f>SUM(K11:M11)</f>
        <v/>
      </c>
      <c r="O11" s="3" t="n"/>
      <c r="P11" s="3">
        <f>00_PARAMETROS!B5</f>
        <v/>
      </c>
      <c r="Q11" s="4">
        <f>C11+J11-N11</f>
        <v/>
      </c>
      <c r="R11" s="3" t="n"/>
      <c r="S11" s="3" t="n"/>
    </row>
    <row r="12" ht="20" customHeight="1">
      <c r="A12" s="4">
        <f>DATE(2025,1,6)</f>
        <v/>
      </c>
      <c r="B12" s="4" t="n">
        <v>6</v>
      </c>
      <c r="C12" s="4">
        <f>Q11</f>
        <v/>
      </c>
      <c r="D12" s="3" t="n"/>
      <c r="E12" s="3" t="n"/>
      <c r="F12" s="3" t="n"/>
      <c r="G12" s="3" t="n"/>
      <c r="H12" s="3" t="n"/>
      <c r="I12" s="3" t="n"/>
      <c r="J12" s="4">
        <f>SUM(D12:H12)+I12</f>
        <v/>
      </c>
      <c r="K12" s="3" t="n"/>
      <c r="L12" s="3" t="n"/>
      <c r="M12" s="3" t="n"/>
      <c r="N12" s="4">
        <f>SUM(K12:M12)</f>
        <v/>
      </c>
      <c r="O12" s="3" t="n"/>
      <c r="P12" s="3">
        <f>00_PARAMETROS!B5</f>
        <v/>
      </c>
      <c r="Q12" s="4">
        <f>C12+J12-N12</f>
        <v/>
      </c>
      <c r="R12" s="3" t="n"/>
      <c r="S12" s="3" t="n"/>
    </row>
    <row r="13" ht="20" customHeight="1">
      <c r="A13" s="4">
        <f>DATE(2025,1,7)</f>
        <v/>
      </c>
      <c r="B13" s="4" t="n">
        <v>7</v>
      </c>
      <c r="C13" s="4">
        <f>Q12</f>
        <v/>
      </c>
      <c r="D13" s="3" t="n"/>
      <c r="E13" s="3" t="n"/>
      <c r="F13" s="3" t="n"/>
      <c r="G13" s="3" t="n"/>
      <c r="H13" s="3" t="n"/>
      <c r="I13" s="3" t="n"/>
      <c r="J13" s="4">
        <f>SUM(D13:H13)+I13</f>
        <v/>
      </c>
      <c r="K13" s="3" t="n"/>
      <c r="L13" s="3" t="n"/>
      <c r="M13" s="3" t="n"/>
      <c r="N13" s="4">
        <f>SUM(K13:M13)</f>
        <v/>
      </c>
      <c r="O13" s="3" t="n"/>
      <c r="P13" s="3">
        <f>00_PARAMETROS!B5</f>
        <v/>
      </c>
      <c r="Q13" s="4">
        <f>C13+J13-N13</f>
        <v/>
      </c>
      <c r="R13" s="3" t="n"/>
      <c r="S13" s="3" t="n"/>
    </row>
    <row r="14" ht="20" customHeight="1">
      <c r="A14" s="4">
        <f>DATE(2025,1,8)</f>
        <v/>
      </c>
      <c r="B14" s="4" t="n">
        <v>8</v>
      </c>
      <c r="C14" s="4">
        <f>Q13</f>
        <v/>
      </c>
      <c r="D14" s="3" t="n"/>
      <c r="E14" s="3" t="n"/>
      <c r="F14" s="3" t="n"/>
      <c r="G14" s="3" t="n"/>
      <c r="H14" s="3" t="n"/>
      <c r="I14" s="3" t="n"/>
      <c r="J14" s="4">
        <f>SUM(D14:H14)+I14</f>
        <v/>
      </c>
      <c r="K14" s="3" t="n"/>
      <c r="L14" s="3" t="n"/>
      <c r="M14" s="3" t="n"/>
      <c r="N14" s="4">
        <f>SUM(K14:M14)</f>
        <v/>
      </c>
      <c r="O14" s="3" t="n"/>
      <c r="P14" s="3">
        <f>00_PARAMETROS!B5</f>
        <v/>
      </c>
      <c r="Q14" s="4">
        <f>C14+J14-N14</f>
        <v/>
      </c>
      <c r="R14" s="3" t="n"/>
      <c r="S14" s="3" t="n"/>
    </row>
    <row r="15" ht="20" customHeight="1">
      <c r="A15" s="4">
        <f>DATE(2025,1,9)</f>
        <v/>
      </c>
      <c r="B15" s="4" t="n">
        <v>9</v>
      </c>
      <c r="C15" s="4">
        <f>Q14</f>
        <v/>
      </c>
      <c r="D15" s="3" t="n"/>
      <c r="E15" s="3" t="n"/>
      <c r="F15" s="3" t="n"/>
      <c r="G15" s="3" t="n"/>
      <c r="H15" s="3" t="n"/>
      <c r="I15" s="3" t="n"/>
      <c r="J15" s="4">
        <f>SUM(D15:H15)+I15</f>
        <v/>
      </c>
      <c r="K15" s="3" t="n"/>
      <c r="L15" s="3" t="n"/>
      <c r="M15" s="3" t="n"/>
      <c r="N15" s="4">
        <f>SUM(K15:M15)</f>
        <v/>
      </c>
      <c r="O15" s="3" t="n"/>
      <c r="P15" s="3">
        <f>00_PARAMETROS!B5</f>
        <v/>
      </c>
      <c r="Q15" s="4">
        <f>C15+J15-N15</f>
        <v/>
      </c>
      <c r="R15" s="3" t="n"/>
      <c r="S15" s="3" t="n"/>
    </row>
    <row r="16" ht="20" customHeight="1">
      <c r="A16" s="4">
        <f>DATE(2025,1,10)</f>
        <v/>
      </c>
      <c r="B16" s="4" t="n">
        <v>10</v>
      </c>
      <c r="C16" s="4">
        <f>Q15</f>
        <v/>
      </c>
      <c r="D16" s="3" t="n"/>
      <c r="E16" s="3" t="n"/>
      <c r="F16" s="3" t="n"/>
      <c r="G16" s="3" t="n"/>
      <c r="H16" s="3" t="n"/>
      <c r="I16" s="3" t="n"/>
      <c r="J16" s="4">
        <f>SUM(D16:H16)+I16</f>
        <v/>
      </c>
      <c r="K16" s="3" t="n"/>
      <c r="L16" s="3" t="n"/>
      <c r="M16" s="3" t="n"/>
      <c r="N16" s="4">
        <f>SUM(K16:M16)</f>
        <v/>
      </c>
      <c r="O16" s="3" t="n"/>
      <c r="P16" s="3">
        <f>00_PARAMETROS!B5</f>
        <v/>
      </c>
      <c r="Q16" s="4">
        <f>C16+J16-N16</f>
        <v/>
      </c>
      <c r="R16" s="3" t="n"/>
      <c r="S16" s="3" t="n"/>
    </row>
    <row r="17" ht="20" customHeight="1">
      <c r="A17" s="4">
        <f>DATE(2025,1,11)</f>
        <v/>
      </c>
      <c r="B17" s="4" t="n">
        <v>11</v>
      </c>
      <c r="C17" s="4">
        <f>Q16</f>
        <v/>
      </c>
      <c r="D17" s="3" t="n"/>
      <c r="E17" s="3" t="n"/>
      <c r="F17" s="3" t="n"/>
      <c r="G17" s="3" t="n"/>
      <c r="H17" s="3" t="n"/>
      <c r="I17" s="3" t="n"/>
      <c r="J17" s="4">
        <f>SUM(D17:H17)+I17</f>
        <v/>
      </c>
      <c r="K17" s="3" t="n"/>
      <c r="L17" s="3" t="n"/>
      <c r="M17" s="3" t="n"/>
      <c r="N17" s="4">
        <f>SUM(K17:M17)</f>
        <v/>
      </c>
      <c r="O17" s="3" t="n"/>
      <c r="P17" s="3">
        <f>00_PARAMETROS!B5</f>
        <v/>
      </c>
      <c r="Q17" s="4">
        <f>C17+J17-N17</f>
        <v/>
      </c>
      <c r="R17" s="3" t="n"/>
      <c r="S17" s="3" t="n"/>
    </row>
    <row r="18" ht="20" customHeight="1">
      <c r="A18" s="4">
        <f>DATE(2025,1,12)</f>
        <v/>
      </c>
      <c r="B18" s="4" t="n">
        <v>12</v>
      </c>
      <c r="C18" s="4">
        <f>Q17</f>
        <v/>
      </c>
      <c r="D18" s="3" t="n"/>
      <c r="E18" s="3" t="n"/>
      <c r="F18" s="3" t="n"/>
      <c r="G18" s="3" t="n"/>
      <c r="H18" s="3" t="n"/>
      <c r="I18" s="3" t="n"/>
      <c r="J18" s="4">
        <f>SUM(D18:H18)+I18</f>
        <v/>
      </c>
      <c r="K18" s="3" t="n"/>
      <c r="L18" s="3" t="n"/>
      <c r="M18" s="3" t="n"/>
      <c r="N18" s="4">
        <f>SUM(K18:M18)</f>
        <v/>
      </c>
      <c r="O18" s="3" t="n"/>
      <c r="P18" s="3">
        <f>00_PARAMETROS!B5</f>
        <v/>
      </c>
      <c r="Q18" s="4">
        <f>C18+J18-N18</f>
        <v/>
      </c>
      <c r="R18" s="3" t="n"/>
      <c r="S18" s="3" t="n"/>
    </row>
    <row r="19" ht="20" customHeight="1">
      <c r="A19" s="4">
        <f>DATE(2025,1,13)</f>
        <v/>
      </c>
      <c r="B19" s="4" t="n">
        <v>13</v>
      </c>
      <c r="C19" s="4">
        <f>Q18</f>
        <v/>
      </c>
      <c r="D19" s="3" t="n"/>
      <c r="E19" s="3" t="n"/>
      <c r="F19" s="3" t="n"/>
      <c r="G19" s="3" t="n"/>
      <c r="H19" s="3" t="n"/>
      <c r="I19" s="3" t="n"/>
      <c r="J19" s="4">
        <f>SUM(D19:H19)+I19</f>
        <v/>
      </c>
      <c r="K19" s="3" t="n"/>
      <c r="L19" s="3" t="n"/>
      <c r="M19" s="3" t="n"/>
      <c r="N19" s="4">
        <f>SUM(K19:M19)</f>
        <v/>
      </c>
      <c r="O19" s="3" t="n"/>
      <c r="P19" s="3">
        <f>00_PARAMETROS!B5</f>
        <v/>
      </c>
      <c r="Q19" s="4">
        <f>C19+J19-N19</f>
        <v/>
      </c>
      <c r="R19" s="3" t="n"/>
      <c r="S19" s="3" t="n"/>
    </row>
    <row r="20" ht="20" customHeight="1">
      <c r="A20" s="4">
        <f>DATE(2025,1,14)</f>
        <v/>
      </c>
      <c r="B20" s="4" t="n">
        <v>14</v>
      </c>
      <c r="C20" s="4">
        <f>Q19</f>
        <v/>
      </c>
      <c r="D20" s="3" t="n"/>
      <c r="E20" s="3" t="n"/>
      <c r="F20" s="3" t="n"/>
      <c r="G20" s="3" t="n"/>
      <c r="H20" s="3" t="n"/>
      <c r="I20" s="3" t="n"/>
      <c r="J20" s="4">
        <f>SUM(D20:H20)+I20</f>
        <v/>
      </c>
      <c r="K20" s="3" t="n"/>
      <c r="L20" s="3" t="n"/>
      <c r="M20" s="3" t="n"/>
      <c r="N20" s="4">
        <f>SUM(K20:M20)</f>
        <v/>
      </c>
      <c r="O20" s="3" t="n"/>
      <c r="P20" s="3">
        <f>00_PARAMETROS!B5</f>
        <v/>
      </c>
      <c r="Q20" s="4">
        <f>C20+J20-N20</f>
        <v/>
      </c>
      <c r="R20" s="3" t="n"/>
      <c r="S20" s="3" t="n"/>
    </row>
    <row r="21" ht="20" customHeight="1">
      <c r="A21" s="4">
        <f>DATE(2025,1,15)</f>
        <v/>
      </c>
      <c r="B21" s="4" t="n">
        <v>15</v>
      </c>
      <c r="C21" s="4">
        <f>Q20</f>
        <v/>
      </c>
      <c r="D21" s="3" t="n"/>
      <c r="E21" s="3" t="n"/>
      <c r="F21" s="3" t="n"/>
      <c r="G21" s="3" t="n"/>
      <c r="H21" s="3" t="n"/>
      <c r="I21" s="3" t="n"/>
      <c r="J21" s="4">
        <f>SUM(D21:H21)+I21</f>
        <v/>
      </c>
      <c r="K21" s="3" t="n"/>
      <c r="L21" s="3" t="n"/>
      <c r="M21" s="3" t="n"/>
      <c r="N21" s="4">
        <f>SUM(K21:M21)</f>
        <v/>
      </c>
      <c r="O21" s="3" t="n"/>
      <c r="P21" s="3">
        <f>00_PARAMETROS!B5</f>
        <v/>
      </c>
      <c r="Q21" s="4">
        <f>C21+J21-N21</f>
        <v/>
      </c>
      <c r="R21" s="3" t="n"/>
      <c r="S21" s="3" t="n"/>
    </row>
    <row r="22" ht="20" customHeight="1">
      <c r="A22" s="4">
        <f>DATE(2025,1,16)</f>
        <v/>
      </c>
      <c r="B22" s="4" t="n">
        <v>16</v>
      </c>
      <c r="C22" s="4">
        <f>Q21</f>
        <v/>
      </c>
      <c r="D22" s="3" t="n"/>
      <c r="E22" s="3" t="n"/>
      <c r="F22" s="3" t="n"/>
      <c r="G22" s="3" t="n"/>
      <c r="H22" s="3" t="n"/>
      <c r="I22" s="3" t="n"/>
      <c r="J22" s="4">
        <f>SUM(D22:H22)+I22</f>
        <v/>
      </c>
      <c r="K22" s="3" t="n"/>
      <c r="L22" s="3" t="n"/>
      <c r="M22" s="3" t="n"/>
      <c r="N22" s="4">
        <f>SUM(K22:M22)</f>
        <v/>
      </c>
      <c r="O22" s="3" t="n"/>
      <c r="P22" s="3">
        <f>00_PARAMETROS!B5</f>
        <v/>
      </c>
      <c r="Q22" s="4">
        <f>C22+J22-N22</f>
        <v/>
      </c>
      <c r="R22" s="3" t="n"/>
      <c r="S22" s="3" t="n"/>
    </row>
    <row r="23" ht="20" customHeight="1">
      <c r="A23" s="4">
        <f>DATE(2025,1,17)</f>
        <v/>
      </c>
      <c r="B23" s="4" t="n">
        <v>17</v>
      </c>
      <c r="C23" s="4">
        <f>Q22</f>
        <v/>
      </c>
      <c r="D23" s="3" t="n"/>
      <c r="E23" s="3" t="n"/>
      <c r="F23" s="3" t="n"/>
      <c r="G23" s="3" t="n"/>
      <c r="H23" s="3" t="n"/>
      <c r="I23" s="3" t="n"/>
      <c r="J23" s="4">
        <f>SUM(D23:H23)+I23</f>
        <v/>
      </c>
      <c r="K23" s="3" t="n"/>
      <c r="L23" s="3" t="n"/>
      <c r="M23" s="3" t="n"/>
      <c r="N23" s="4">
        <f>SUM(K23:M23)</f>
        <v/>
      </c>
      <c r="O23" s="3" t="n"/>
      <c r="P23" s="3">
        <f>00_PARAMETROS!B5</f>
        <v/>
      </c>
      <c r="Q23" s="4">
        <f>C23+J23-N23</f>
        <v/>
      </c>
      <c r="R23" s="3" t="n"/>
      <c r="S23" s="3" t="n"/>
    </row>
    <row r="24" ht="20" customHeight="1">
      <c r="A24" s="4">
        <f>DATE(2025,1,18)</f>
        <v/>
      </c>
      <c r="B24" s="4" t="n">
        <v>18</v>
      </c>
      <c r="C24" s="4">
        <f>Q23</f>
        <v/>
      </c>
      <c r="D24" s="3" t="n"/>
      <c r="E24" s="3" t="n"/>
      <c r="F24" s="3" t="n"/>
      <c r="G24" s="3" t="n"/>
      <c r="H24" s="3" t="n"/>
      <c r="I24" s="3" t="n"/>
      <c r="J24" s="4">
        <f>SUM(D24:H24)+I24</f>
        <v/>
      </c>
      <c r="K24" s="3" t="n"/>
      <c r="L24" s="3" t="n"/>
      <c r="M24" s="3" t="n"/>
      <c r="N24" s="4">
        <f>SUM(K24:M24)</f>
        <v/>
      </c>
      <c r="O24" s="3" t="n"/>
      <c r="P24" s="3">
        <f>00_PARAMETROS!B5</f>
        <v/>
      </c>
      <c r="Q24" s="4">
        <f>C24+J24-N24</f>
        <v/>
      </c>
      <c r="R24" s="3" t="n"/>
      <c r="S24" s="3" t="n"/>
    </row>
    <row r="25" ht="20" customHeight="1">
      <c r="A25" s="4">
        <f>DATE(2025,1,19)</f>
        <v/>
      </c>
      <c r="B25" s="4" t="n">
        <v>19</v>
      </c>
      <c r="C25" s="4">
        <f>Q24</f>
        <v/>
      </c>
      <c r="D25" s="3" t="n"/>
      <c r="E25" s="3" t="n"/>
      <c r="F25" s="3" t="n"/>
      <c r="G25" s="3" t="n"/>
      <c r="H25" s="3" t="n"/>
      <c r="I25" s="3" t="n"/>
      <c r="J25" s="4">
        <f>SUM(D25:H25)+I25</f>
        <v/>
      </c>
      <c r="K25" s="3" t="n"/>
      <c r="L25" s="3" t="n"/>
      <c r="M25" s="3" t="n"/>
      <c r="N25" s="4">
        <f>SUM(K25:M25)</f>
        <v/>
      </c>
      <c r="O25" s="3" t="n"/>
      <c r="P25" s="3">
        <f>00_PARAMETROS!B5</f>
        <v/>
      </c>
      <c r="Q25" s="4">
        <f>C25+J25-N25</f>
        <v/>
      </c>
      <c r="R25" s="3" t="n"/>
      <c r="S25" s="3" t="n"/>
    </row>
    <row r="26" ht="20" customHeight="1">
      <c r="A26" s="4">
        <f>DATE(2025,1,20)</f>
        <v/>
      </c>
      <c r="B26" s="4" t="n">
        <v>20</v>
      </c>
      <c r="C26" s="4">
        <f>Q25</f>
        <v/>
      </c>
      <c r="D26" s="3" t="n"/>
      <c r="E26" s="3" t="n"/>
      <c r="F26" s="3" t="n"/>
      <c r="G26" s="3" t="n"/>
      <c r="H26" s="3" t="n"/>
      <c r="I26" s="3" t="n"/>
      <c r="J26" s="4">
        <f>SUM(D26:H26)+I26</f>
        <v/>
      </c>
      <c r="K26" s="3" t="n"/>
      <c r="L26" s="3" t="n"/>
      <c r="M26" s="3" t="n"/>
      <c r="N26" s="4">
        <f>SUM(K26:M26)</f>
        <v/>
      </c>
      <c r="O26" s="3" t="n"/>
      <c r="P26" s="3">
        <f>00_PARAMETROS!B5</f>
        <v/>
      </c>
      <c r="Q26" s="4">
        <f>C26+J26-N26</f>
        <v/>
      </c>
      <c r="R26" s="3" t="n"/>
      <c r="S26" s="3" t="n"/>
    </row>
    <row r="27" ht="20" customHeight="1">
      <c r="A27" s="4">
        <f>DATE(2025,1,21)</f>
        <v/>
      </c>
      <c r="B27" s="4" t="n">
        <v>21</v>
      </c>
      <c r="C27" s="4">
        <f>Q26</f>
        <v/>
      </c>
      <c r="D27" s="3" t="n"/>
      <c r="E27" s="3" t="n"/>
      <c r="F27" s="3" t="n"/>
      <c r="G27" s="3" t="n"/>
      <c r="H27" s="3" t="n"/>
      <c r="I27" s="3" t="n"/>
      <c r="J27" s="4">
        <f>SUM(D27:H27)+I27</f>
        <v/>
      </c>
      <c r="K27" s="3" t="n"/>
      <c r="L27" s="3" t="n"/>
      <c r="M27" s="3" t="n"/>
      <c r="N27" s="4">
        <f>SUM(K27:M27)</f>
        <v/>
      </c>
      <c r="O27" s="3" t="n"/>
      <c r="P27" s="3">
        <f>00_PARAMETROS!B5</f>
        <v/>
      </c>
      <c r="Q27" s="4">
        <f>C27+J27-N27</f>
        <v/>
      </c>
      <c r="R27" s="3" t="n"/>
      <c r="S27" s="3" t="n"/>
    </row>
    <row r="28" ht="20" customHeight="1">
      <c r="A28" s="4">
        <f>DATE(2025,1,22)</f>
        <v/>
      </c>
      <c r="B28" s="4" t="n">
        <v>22</v>
      </c>
      <c r="C28" s="4">
        <f>Q27</f>
        <v/>
      </c>
      <c r="D28" s="3" t="n"/>
      <c r="E28" s="3" t="n"/>
      <c r="F28" s="3" t="n"/>
      <c r="G28" s="3" t="n"/>
      <c r="H28" s="3" t="n"/>
      <c r="I28" s="3" t="n"/>
      <c r="J28" s="4">
        <f>SUM(D28:H28)+I28</f>
        <v/>
      </c>
      <c r="K28" s="3" t="n"/>
      <c r="L28" s="3" t="n"/>
      <c r="M28" s="3" t="n"/>
      <c r="N28" s="4">
        <f>SUM(K28:M28)</f>
        <v/>
      </c>
      <c r="O28" s="3" t="n"/>
      <c r="P28" s="3">
        <f>00_PARAMETROS!B5</f>
        <v/>
      </c>
      <c r="Q28" s="4">
        <f>C28+J28-N28</f>
        <v/>
      </c>
      <c r="R28" s="3" t="n"/>
      <c r="S28" s="3" t="n"/>
    </row>
    <row r="29" ht="20" customHeight="1">
      <c r="A29" s="4">
        <f>DATE(2025,1,23)</f>
        <v/>
      </c>
      <c r="B29" s="4" t="n">
        <v>23</v>
      </c>
      <c r="C29" s="4">
        <f>Q28</f>
        <v/>
      </c>
      <c r="D29" s="3" t="n"/>
      <c r="E29" s="3" t="n"/>
      <c r="F29" s="3" t="n"/>
      <c r="G29" s="3" t="n"/>
      <c r="H29" s="3" t="n"/>
      <c r="I29" s="3" t="n"/>
      <c r="J29" s="4">
        <f>SUM(D29:H29)+I29</f>
        <v/>
      </c>
      <c r="K29" s="3" t="n"/>
      <c r="L29" s="3" t="n"/>
      <c r="M29" s="3" t="n"/>
      <c r="N29" s="4">
        <f>SUM(K29:M29)</f>
        <v/>
      </c>
      <c r="O29" s="3" t="n"/>
      <c r="P29" s="3">
        <f>00_PARAMETROS!B5</f>
        <v/>
      </c>
      <c r="Q29" s="4">
        <f>C29+J29-N29</f>
        <v/>
      </c>
      <c r="R29" s="3" t="n"/>
      <c r="S29" s="3" t="n"/>
    </row>
    <row r="30" ht="20" customHeight="1">
      <c r="A30" s="4">
        <f>DATE(2025,1,24)</f>
        <v/>
      </c>
      <c r="B30" s="4" t="n">
        <v>24</v>
      </c>
      <c r="C30" s="4">
        <f>Q29</f>
        <v/>
      </c>
      <c r="D30" s="3" t="n"/>
      <c r="E30" s="3" t="n"/>
      <c r="F30" s="3" t="n"/>
      <c r="G30" s="3" t="n"/>
      <c r="H30" s="3" t="n"/>
      <c r="I30" s="3" t="n"/>
      <c r="J30" s="4">
        <f>SUM(D30:H30)+I30</f>
        <v/>
      </c>
      <c r="K30" s="3" t="n"/>
      <c r="L30" s="3" t="n"/>
      <c r="M30" s="3" t="n"/>
      <c r="N30" s="4">
        <f>SUM(K30:M30)</f>
        <v/>
      </c>
      <c r="O30" s="3" t="n"/>
      <c r="P30" s="3">
        <f>00_PARAMETROS!B5</f>
        <v/>
      </c>
      <c r="Q30" s="4">
        <f>C30+J30-N30</f>
        <v/>
      </c>
      <c r="R30" s="3" t="n"/>
      <c r="S30" s="3" t="n"/>
    </row>
    <row r="31" ht="20" customHeight="1">
      <c r="A31" s="4">
        <f>DATE(2025,1,25)</f>
        <v/>
      </c>
      <c r="B31" s="4" t="n">
        <v>25</v>
      </c>
      <c r="C31" s="4">
        <f>Q30</f>
        <v/>
      </c>
      <c r="D31" s="3" t="n"/>
      <c r="E31" s="3" t="n"/>
      <c r="F31" s="3" t="n"/>
      <c r="G31" s="3" t="n"/>
      <c r="H31" s="3" t="n"/>
      <c r="I31" s="3" t="n"/>
      <c r="J31" s="4">
        <f>SUM(D31:H31)+I31</f>
        <v/>
      </c>
      <c r="K31" s="3" t="n"/>
      <c r="L31" s="3" t="n"/>
      <c r="M31" s="3" t="n"/>
      <c r="N31" s="4">
        <f>SUM(K31:M31)</f>
        <v/>
      </c>
      <c r="O31" s="3" t="n"/>
      <c r="P31" s="3">
        <f>00_PARAMETROS!B5</f>
        <v/>
      </c>
      <c r="Q31" s="4">
        <f>C31+J31-N31</f>
        <v/>
      </c>
      <c r="R31" s="3" t="n"/>
      <c r="S31" s="3" t="n"/>
    </row>
    <row r="32" ht="20" customHeight="1">
      <c r="A32" s="4">
        <f>DATE(2025,1,26)</f>
        <v/>
      </c>
      <c r="B32" s="4" t="n">
        <v>26</v>
      </c>
      <c r="C32" s="4">
        <f>Q31</f>
        <v/>
      </c>
      <c r="D32" s="3" t="n"/>
      <c r="E32" s="3" t="n"/>
      <c r="F32" s="3" t="n"/>
      <c r="G32" s="3" t="n"/>
      <c r="H32" s="3" t="n"/>
      <c r="I32" s="3" t="n"/>
      <c r="J32" s="4">
        <f>SUM(D32:H32)+I32</f>
        <v/>
      </c>
      <c r="K32" s="3" t="n"/>
      <c r="L32" s="3" t="n"/>
      <c r="M32" s="3" t="n"/>
      <c r="N32" s="4">
        <f>SUM(K32:M32)</f>
        <v/>
      </c>
      <c r="O32" s="3" t="n"/>
      <c r="P32" s="3">
        <f>00_PARAMETROS!B5</f>
        <v/>
      </c>
      <c r="Q32" s="4">
        <f>C32+J32-N32</f>
        <v/>
      </c>
      <c r="R32" s="3" t="n"/>
      <c r="S32" s="3" t="n"/>
    </row>
    <row r="33" ht="20" customHeight="1">
      <c r="A33" s="4">
        <f>DATE(2025,1,27)</f>
        <v/>
      </c>
      <c r="B33" s="4" t="n">
        <v>27</v>
      </c>
      <c r="C33" s="4">
        <f>Q32</f>
        <v/>
      </c>
      <c r="D33" s="3" t="n"/>
      <c r="E33" s="3" t="n"/>
      <c r="F33" s="3" t="n"/>
      <c r="G33" s="3" t="n"/>
      <c r="H33" s="3" t="n"/>
      <c r="I33" s="3" t="n"/>
      <c r="J33" s="4">
        <f>SUM(D33:H33)+I33</f>
        <v/>
      </c>
      <c r="K33" s="3" t="n"/>
      <c r="L33" s="3" t="n"/>
      <c r="M33" s="3" t="n"/>
      <c r="N33" s="4">
        <f>SUM(K33:M33)</f>
        <v/>
      </c>
      <c r="O33" s="3" t="n"/>
      <c r="P33" s="3">
        <f>00_PARAMETROS!B5</f>
        <v/>
      </c>
      <c r="Q33" s="4">
        <f>C33+J33-N33</f>
        <v/>
      </c>
      <c r="R33" s="3" t="n"/>
      <c r="S33" s="3" t="n"/>
    </row>
    <row r="34" ht="20" customHeight="1">
      <c r="A34" s="4">
        <f>DATE(2025,1,28)</f>
        <v/>
      </c>
      <c r="B34" s="4" t="n">
        <v>28</v>
      </c>
      <c r="C34" s="4">
        <f>Q33</f>
        <v/>
      </c>
      <c r="D34" s="3" t="n"/>
      <c r="E34" s="3" t="n"/>
      <c r="F34" s="3" t="n"/>
      <c r="G34" s="3" t="n"/>
      <c r="H34" s="3" t="n"/>
      <c r="I34" s="3" t="n"/>
      <c r="J34" s="4">
        <f>SUM(D34:H34)+I34</f>
        <v/>
      </c>
      <c r="K34" s="3" t="n"/>
      <c r="L34" s="3" t="n"/>
      <c r="M34" s="3" t="n"/>
      <c r="N34" s="4">
        <f>SUM(K34:M34)</f>
        <v/>
      </c>
      <c r="O34" s="3" t="n"/>
      <c r="P34" s="3">
        <f>00_PARAMETROS!B5</f>
        <v/>
      </c>
      <c r="Q34" s="4">
        <f>C34+J34-N34</f>
        <v/>
      </c>
      <c r="R34" s="3" t="n"/>
      <c r="S34" s="3" t="n"/>
    </row>
    <row r="35" ht="20" customHeight="1">
      <c r="A35" s="4">
        <f>DATE(2025,1,29)</f>
        <v/>
      </c>
      <c r="B35" s="4" t="n">
        <v>29</v>
      </c>
      <c r="C35" s="4">
        <f>Q34</f>
        <v/>
      </c>
      <c r="D35" s="3" t="n"/>
      <c r="E35" s="3" t="n"/>
      <c r="F35" s="3" t="n"/>
      <c r="G35" s="3" t="n"/>
      <c r="H35" s="3" t="n"/>
      <c r="I35" s="3" t="n"/>
      <c r="J35" s="4">
        <f>SUM(D35:H35)+I35</f>
        <v/>
      </c>
      <c r="K35" s="3" t="n"/>
      <c r="L35" s="3" t="n"/>
      <c r="M35" s="3" t="n"/>
      <c r="N35" s="4">
        <f>SUM(K35:M35)</f>
        <v/>
      </c>
      <c r="O35" s="3" t="n"/>
      <c r="P35" s="3">
        <f>00_PARAMETROS!B5</f>
        <v/>
      </c>
      <c r="Q35" s="4">
        <f>C35+J35-N35</f>
        <v/>
      </c>
      <c r="R35" s="3" t="n"/>
      <c r="S35" s="3" t="n"/>
    </row>
    <row r="36" ht="20" customHeight="1">
      <c r="A36" s="4">
        <f>DATE(2025,1,30)</f>
        <v/>
      </c>
      <c r="B36" s="4" t="n">
        <v>30</v>
      </c>
      <c r="C36" s="4">
        <f>Q35</f>
        <v/>
      </c>
      <c r="D36" s="3" t="n"/>
      <c r="E36" s="3" t="n"/>
      <c r="F36" s="3" t="n"/>
      <c r="G36" s="3" t="n"/>
      <c r="H36" s="3" t="n"/>
      <c r="I36" s="3" t="n"/>
      <c r="J36" s="4">
        <f>SUM(D36:H36)+I36</f>
        <v/>
      </c>
      <c r="K36" s="3" t="n"/>
      <c r="L36" s="3" t="n"/>
      <c r="M36" s="3" t="n"/>
      <c r="N36" s="4">
        <f>SUM(K36:M36)</f>
        <v/>
      </c>
      <c r="O36" s="3" t="n"/>
      <c r="P36" s="3">
        <f>00_PARAMETROS!B5</f>
        <v/>
      </c>
      <c r="Q36" s="4">
        <f>C36+J36-N36</f>
        <v/>
      </c>
      <c r="R36" s="3" t="n"/>
      <c r="S36" s="3" t="n"/>
    </row>
    <row r="37" ht="20" customHeight="1">
      <c r="A37" s="4">
        <f>DATE(2025,1,31)</f>
        <v/>
      </c>
      <c r="B37" s="4" t="n">
        <v>31</v>
      </c>
      <c r="C37" s="4">
        <f>Q36</f>
        <v/>
      </c>
      <c r="D37" s="3" t="n"/>
      <c r="E37" s="3" t="n"/>
      <c r="F37" s="3" t="n"/>
      <c r="G37" s="3" t="n"/>
      <c r="H37" s="3" t="n"/>
      <c r="I37" s="3" t="n"/>
      <c r="J37" s="4">
        <f>SUM(D37:H37)+I37</f>
        <v/>
      </c>
      <c r="K37" s="3" t="n"/>
      <c r="L37" s="3" t="n"/>
      <c r="M37" s="3" t="n"/>
      <c r="N37" s="4">
        <f>SUM(K37:M37)</f>
        <v/>
      </c>
      <c r="O37" s="3" t="n"/>
      <c r="P37" s="3">
        <f>00_PARAMETROS!B5</f>
        <v/>
      </c>
      <c r="Q37" s="4">
        <f>C37+J37-N37</f>
        <v/>
      </c>
      <c r="R37" s="3" t="n"/>
      <c r="S37" s="3" t="n"/>
    </row>
    <row r="38" ht="20" customHeight="1">
      <c r="A38" s="2" t="inlineStr">
        <is>
          <t>TOTAL</t>
        </is>
      </c>
      <c r="B38" s="7" t="n"/>
      <c r="C38" s="7" t="n"/>
      <c r="D38" s="8">
        <f>SUM(D7:D37)</f>
        <v/>
      </c>
      <c r="E38" s="8">
        <f>SUM(E7:E37)</f>
        <v/>
      </c>
      <c r="F38" s="8">
        <f>SUM(F7:F37)</f>
        <v/>
      </c>
      <c r="G38" s="8">
        <f>SUM(G7:G37)</f>
        <v/>
      </c>
      <c r="H38" s="8">
        <f>SUM(H7:H37)</f>
        <v/>
      </c>
      <c r="I38" s="8">
        <f>SUM(I7:I37)</f>
        <v/>
      </c>
      <c r="J38" s="8">
        <f>SUM(J7:J37)</f>
        <v/>
      </c>
      <c r="K38" s="8">
        <f>SUM(K7:K37)</f>
        <v/>
      </c>
      <c r="L38" s="8">
        <f>SUM(L7:L37)</f>
        <v/>
      </c>
      <c r="M38" s="8">
        <f>SUM(M7:M37)</f>
        <v/>
      </c>
      <c r="N38" s="8">
        <f>SUM(N7:N37)</f>
        <v/>
      </c>
      <c r="O38" s="8">
        <f>SUM(O7:O37)</f>
        <v/>
      </c>
      <c r="P38" s="8">
        <f>SUM(P7:P37)</f>
        <v/>
      </c>
      <c r="Q38" s="8">
        <f>SUM(Q7:Q37)</f>
        <v/>
      </c>
      <c r="R38" s="8">
        <f>SUM(R7:R37)</f>
        <v/>
      </c>
      <c r="S38" s="8">
        <f>SUM(S7:S37)</f>
        <v/>
      </c>
    </row>
    <row r="39" ht="20" customHeight="1"/>
    <row r="40" ht="20" customHeight="1"/>
    <row r="41" ht="20" customHeight="1">
      <c r="A41" s="2" t="inlineStr">
        <is>
          <t>RESUMEN DEL MES</t>
        </is>
      </c>
      <c r="B41" s="9" t="n"/>
      <c r="C41" s="9" t="n"/>
      <c r="D41" s="10" t="n"/>
    </row>
    <row r="42" ht="20" customHeight="1">
      <c r="A42" s="11" t="inlineStr">
        <is>
          <t>Ingresos</t>
        </is>
      </c>
      <c r="B42" s="4">
        <f>J38</f>
        <v/>
      </c>
    </row>
    <row r="43" ht="20" customHeight="1">
      <c r="A43" s="11" t="inlineStr">
        <is>
          <t>Altas al hogar / otro hosp.</t>
        </is>
      </c>
      <c r="B43" s="4">
        <f>K38</f>
        <v/>
      </c>
    </row>
    <row r="44" ht="20" customHeight="1">
      <c r="A44" s="11" t="inlineStr">
        <is>
          <t>Traslados a otro servicio</t>
        </is>
      </c>
      <c r="B44" s="4">
        <f>L38</f>
        <v/>
      </c>
    </row>
    <row r="45" ht="20" customHeight="1">
      <c r="A45" s="11" t="inlineStr">
        <is>
          <t>Fallecidos</t>
        </is>
      </c>
      <c r="B45" s="4">
        <f>M38</f>
        <v/>
      </c>
    </row>
    <row r="46" ht="20" customHeight="1">
      <c r="A46" s="11" t="inlineStr">
        <is>
          <t>Total egresos</t>
        </is>
      </c>
      <c r="B46" s="4">
        <f>N38</f>
        <v/>
      </c>
    </row>
    <row r="47" ht="20" customHeight="1">
      <c r="A47" s="11" t="inlineStr">
        <is>
          <t>Pacientes atendidos del mes</t>
        </is>
      </c>
      <c r="B47" s="4">
        <f>C7+J38</f>
        <v/>
      </c>
    </row>
    <row r="48" ht="20" customHeight="1">
      <c r="A48" s="11" t="inlineStr">
        <is>
          <t>Dias personas atendidas</t>
        </is>
      </c>
      <c r="B48" s="4">
        <f>R38</f>
        <v/>
      </c>
    </row>
    <row r="49" ht="20" customHeight="1">
      <c r="A49" s="11" t="inlineStr">
        <is>
          <t>Indice ocupacional %</t>
        </is>
      </c>
      <c r="B49" s="12">
        <f>IFERROR(Q38/P38,"")</f>
        <v/>
      </c>
    </row>
    <row r="50" ht="20" customHeight="1">
      <c r="A50" s="11" t="inlineStr">
        <is>
          <t>Promedio dia de estada</t>
        </is>
      </c>
      <c r="B50" s="13">
        <f>IFERROR(R38/N38,"")</f>
        <v/>
      </c>
    </row>
  </sheetData>
  <sheetProtection selectLockedCells="1" selectUnlockedCells="1" sheet="1" objects="0" insertRows="1" insertHyperlinks="1" autoFilter="1" scenarios="0" formatColumns="1" deleteColumns="1" insertColumns="1" pivotTables="1" deleteRows="1" formatCells="1" formatRows="1" sort="1" password="C752"/>
  <mergeCells count="3">
    <mergeCell ref="U1:W1"/>
    <mergeCell ref="A41:D41"/>
    <mergeCell ref="A1:S1"/>
  </mergeCells>
  <dataValidations count="1">
    <dataValidation sqref="D7 D8 D9 D10 D11 D12 D13 D14 D15 D16 D17 D18 D19 D20 D21 D22 D23 D24 D25 D26 D27 D28 D29 D30 D31 D32 D33 D34 D35 D36 D37 E7 E8 E9 E10 E11 E12 E13 E14 E15 E16 E17 E18 E19 E20 E21 E22 E23 E24 E25 E26 E27 E28 E29 E30 E31 E32 E33 E34 E35 E36 E37 F7 F8 F9 F10 F11 F12 F13 F14 F15 F16 F17 F18 F19 F20 F21 F22 F23 F24 F25 F26 F27 F28 F29 F30 F31 F32 F33 F34 F35 F36 F37 G7 G8 G9 G10 G11 G12 G13 G14 G15 G16 G17 G18 G19 G20 G21 G22 G23 G24 G25 G26 G27 G28 G29 G30 G31 G32 G33 G34 G35 G36 G37 H7 H8 H9 H10 H11 H12 H13 H14 H15 H16 H17 H18 H19 H20 H21 H22 H23 H24 H25 H26 H27 H28 H29 H30 H31 H32 H33 H34 H35 H36 H37 I7 I8 I9 I10 I11 I12 I13 I14 I15 I16 I17 I18 I19 I20 I21 I22 I23 I24 I25 I26 I27 I28 I29 I30 I31 I32 I33 I34 I35 I36 I37 K7 K8 K9 K10 K11 K12 K13 K14 K15 K16 K17 K18 K19 K20 K21 K22 K23 K24 K25 K26 K27 K28 K29 K30 K31 K32 K33 K34 K35 K36 K37 L7 L8 L9 L10 L11 L12 L13 L14 L15 L16 L17 L18 L19 L20 L21 L22 L23 L24 L25 L26 L27 L28 L29 L30 L31 L32 L33 L34 L35 L36 L37 M7 M8 M9 M10 M11 M12 M13 M14 M15 M16 M17 M18 M19 M20 M21 M22 M23 M24 M25 M26 M27 M28 M29 M30 M31 M32 M33 M34 M35 M36 M37 O7 O8 O9 O10 O11 O12 O13 O14 O15 O16 O17 O18 O19 O20 O21 O22 O23 O24 O25 O26 O27 O28 O29 O30 O31 O32 O33 O34 O35 O36 O37 P7 P8 P9 P10 P11 P12 P13 P14 P15 P16 P17 P18 P19 P20 P21 P22 P23 P24 P25 P26 P27 P28 P29 P30 P31 P32 P33 P34 P35 P36 P37 R7 R8 R9 R10 R11 R12 R13 R14 R15 R16 R17 R18 R19 R20 R21 R22 R23 R24 R25 R26 R27 R28 R29 R30 R31 R32 R33 R34 R35 R36 R37 S7 S8 S9 S10 S11 S12 S13 S14 S15 S16 S17 S18 S19 S20 S21 S22 S23 S24 S25 S26 S27 S28 S29 S30 S31 S32 S33 S34 S35 S36 S37" showDropDown="0" showInputMessage="0" showErrorMessage="0" allowBlank="1" prompt="Ingresa un numero entero mayor o igual a 0." type="whole" operator="greaterThanOrEqual">
      <formula1>0</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47"/>
  <sheetViews>
    <sheetView showGridLines="1" workbookViewId="0">
      <pane ySplit="6" topLeftCell="A7" activePane="bottomLeft" state="frozen"/>
      <selection pane="bottomLeft" activeCell="A1" sqref="A1"/>
    </sheetView>
  </sheetViews>
  <sheetFormatPr baseColWidth="8" defaultRowHeight="15"/>
  <cols>
    <col width="13" customWidth="1" min="1" max="1"/>
    <col width="7" customWidth="1" min="2" max="2"/>
    <col width="20" customWidth="1" min="3" max="3"/>
    <col width="13" customWidth="1" min="4" max="4"/>
    <col width="18" customWidth="1" min="5" max="5"/>
    <col width="15" customWidth="1" min="6" max="6"/>
    <col width="16" customWidth="1" min="7" max="7"/>
    <col width="10" customWidth="1" min="8" max="8"/>
    <col width="15" customWidth="1" min="9" max="9"/>
    <col width="13" customWidth="1" min="10" max="10"/>
    <col width="20" customWidth="1" min="11" max="11"/>
    <col width="22" customWidth="1" min="12" max="12"/>
    <col width="14" customWidth="1" min="13" max="13"/>
    <col width="13" customWidth="1" min="14" max="14"/>
    <col width="18" customWidth="1" min="15" max="15"/>
    <col width="18" customWidth="1" min="16" max="16"/>
    <col width="17" customWidth="1" min="17" max="17"/>
    <col width="16" customWidth="1" min="18" max="18"/>
    <col width="16" customWidth="1" min="19" max="19"/>
    <col width="34" customWidth="1" min="21" max="21"/>
    <col width="12" customWidth="1" min="22" max="22"/>
  </cols>
  <sheetData>
    <row r="1" ht="20" customHeight="1">
      <c r="A1" s="1" t="inlineStr">
        <is>
          <t>RESUMEN MENSUAL HODOM</t>
        </is>
      </c>
      <c r="U1" s="1" t="inlineStr">
        <is>
          <t>CONTROL</t>
        </is>
      </c>
    </row>
    <row r="2" ht="20" customHeight="1">
      <c r="A2" s="2" t="inlineStr">
        <is>
          <t>Servicio</t>
        </is>
      </c>
      <c r="B2" s="4">
        <f>00_PARAMETROS!B3</f>
        <v/>
      </c>
      <c r="C2" s="2" t="inlineStr">
        <is>
          <t>Codigo</t>
        </is>
      </c>
      <c r="D2" s="4">
        <f>00_PARAMETROS!B4</f>
        <v/>
      </c>
      <c r="E2" s="2" t="inlineStr">
        <is>
          <t>Mes</t>
        </is>
      </c>
      <c r="F2" s="3" t="inlineStr">
        <is>
          <t>FEBRERO</t>
        </is>
      </c>
      <c r="G2" s="2" t="inlineStr">
        <is>
          <t>Ano</t>
        </is>
      </c>
      <c r="H2" s="3" t="n">
        <v>2025</v>
      </c>
    </row>
    <row r="3" ht="20" customHeight="1">
      <c r="A3" s="2" t="inlineStr">
        <is>
          <t>Camas base</t>
        </is>
      </c>
      <c r="B3" s="4">
        <f>00_PARAMETROS!B5</f>
        <v/>
      </c>
      <c r="C3" s="2" t="inlineStr">
        <is>
          <t>Promedio camas</t>
        </is>
      </c>
      <c r="D3" s="4">
        <f>AVERAGE(P7:P34)</f>
        <v/>
      </c>
      <c r="E3" s="2" t="inlineStr">
        <is>
          <t>Dias del mes</t>
        </is>
      </c>
      <c r="F3" s="3" t="n">
        <v>28</v>
      </c>
      <c r="U3" s="5" t="inlineStr">
        <is>
          <t>Dias con ocupacion negativa</t>
        </is>
      </c>
      <c r="V3" s="4">
        <f>COUNTIF(Q7:Q34,"&lt;0")</f>
        <v/>
      </c>
    </row>
    <row r="4" ht="20" customHeight="1">
      <c r="U4" s="5" t="inlineStr">
        <is>
          <t>Dias sin camas disponibles</t>
        </is>
      </c>
      <c r="V4" s="4">
        <f>COUNTBLANK(P7:P34)</f>
        <v/>
      </c>
    </row>
    <row r="5" ht="20" customHeight="1">
      <c r="U5" s="5" t="inlineStr">
        <is>
          <t>Primer dia sin existencia inicial</t>
        </is>
      </c>
      <c r="V5" s="4">
        <f>IF(C7="",1,0)</f>
        <v/>
      </c>
    </row>
    <row r="6" ht="36" customHeight="1">
      <c r="A6" s="6" t="inlineStr">
        <is>
          <t>Fecha</t>
        </is>
      </c>
      <c r="B6" s="6" t="inlineStr">
        <is>
          <t>Dia</t>
        </is>
      </c>
      <c r="C6" s="6" t="inlineStr">
        <is>
          <t>Existencia dia anterior</t>
        </is>
      </c>
      <c r="D6" s="6" t="inlineStr">
        <is>
          <t>Ing. urgencia</t>
        </is>
      </c>
      <c r="E6" s="6" t="inlineStr">
        <is>
          <t>Ing. hospitalizacion</t>
        </is>
      </c>
      <c r="F6" s="6" t="inlineStr">
        <is>
          <t>Ing. ambulatorio</t>
        </is>
      </c>
      <c r="G6" s="6" t="inlineStr">
        <is>
          <t>Ing. ley urgencia</t>
        </is>
      </c>
      <c r="H6" s="6" t="inlineStr">
        <is>
          <t>Ing. UGCC</t>
        </is>
      </c>
      <c r="I6" s="6" t="inlineStr">
        <is>
          <t>Ing. por traslado</t>
        </is>
      </c>
      <c r="J6" s="6" t="inlineStr">
        <is>
          <t>Total ingresos</t>
        </is>
      </c>
      <c r="K6" s="6" t="inlineStr">
        <is>
          <t>Egr. alta hogar / otro hosp.</t>
        </is>
      </c>
      <c r="L6" s="6" t="inlineStr">
        <is>
          <t>Egr. traslado a otro servicio</t>
        </is>
      </c>
      <c r="M6" s="6" t="inlineStr">
        <is>
          <t>Egr. fallecidos</t>
        </is>
      </c>
      <c r="N6" s="6" t="inlineStr">
        <is>
          <t>Total egresos</t>
        </is>
      </c>
      <c r="O6" s="6" t="inlineStr">
        <is>
          <t>Ingr.-egr. mismo dia</t>
        </is>
      </c>
      <c r="P6" s="6" t="inlineStr">
        <is>
          <t>Dias cama disponibles</t>
        </is>
      </c>
      <c r="Q6" s="6" t="inlineStr">
        <is>
          <t>Dias cama ocupadas</t>
        </is>
      </c>
      <c r="R6" s="6" t="inlineStr">
        <is>
          <t>Dias estada total</t>
        </is>
      </c>
      <c r="S6" s="6" t="inlineStr">
        <is>
          <t>Dias estada benef.</t>
        </is>
      </c>
      <c r="U6" s="5" t="inlineStr">
        <is>
          <t>Dias con total ingresos manualmente alterado</t>
        </is>
      </c>
      <c r="V6" s="4" t="inlineStr">
        <is>
          <t>0</t>
        </is>
      </c>
    </row>
    <row r="7" ht="20" customHeight="1">
      <c r="A7" s="4">
        <f>DATE(2025,2,1)</f>
        <v/>
      </c>
      <c r="B7" s="4" t="n">
        <v>1</v>
      </c>
      <c r="C7" s="3" t="n"/>
      <c r="D7" s="3" t="n"/>
      <c r="E7" s="3" t="n"/>
      <c r="F7" s="3" t="n"/>
      <c r="G7" s="3" t="n"/>
      <c r="H7" s="3" t="n"/>
      <c r="I7" s="3" t="n"/>
      <c r="J7" s="4">
        <f>SUM(D7:H7)+I7</f>
        <v/>
      </c>
      <c r="K7" s="3" t="n"/>
      <c r="L7" s="3" t="n"/>
      <c r="M7" s="3" t="n"/>
      <c r="N7" s="4">
        <f>SUM(K7:M7)</f>
        <v/>
      </c>
      <c r="O7" s="3" t="n"/>
      <c r="P7" s="3">
        <f>00_PARAMETROS!B5</f>
        <v/>
      </c>
      <c r="Q7" s="4">
        <f>C7+J7-N7</f>
        <v/>
      </c>
      <c r="R7" s="3" t="n"/>
      <c r="S7" s="3" t="n"/>
      <c r="U7" s="5" t="inlineStr">
        <is>
          <t>Dias con total egresos manualmente alterado</t>
        </is>
      </c>
      <c r="V7" s="4" t="inlineStr">
        <is>
          <t>0</t>
        </is>
      </c>
    </row>
    <row r="8" ht="20" customHeight="1">
      <c r="A8" s="4">
        <f>DATE(2025,2,2)</f>
        <v/>
      </c>
      <c r="B8" s="4" t="n">
        <v>2</v>
      </c>
      <c r="C8" s="4">
        <f>Q7</f>
        <v/>
      </c>
      <c r="D8" s="3" t="n"/>
      <c r="E8" s="3" t="n"/>
      <c r="F8" s="3" t="n"/>
      <c r="G8" s="3" t="n"/>
      <c r="H8" s="3" t="n"/>
      <c r="I8" s="3" t="n"/>
      <c r="J8" s="4">
        <f>SUM(D8:H8)+I8</f>
        <v/>
      </c>
      <c r="K8" s="3" t="n"/>
      <c r="L8" s="3" t="n"/>
      <c r="M8" s="3" t="n"/>
      <c r="N8" s="4">
        <f>SUM(K8:M8)</f>
        <v/>
      </c>
      <c r="O8" s="3" t="n"/>
      <c r="P8" s="3">
        <f>00_PARAMETROS!B5</f>
        <v/>
      </c>
      <c r="Q8" s="4">
        <f>C8+J8-N8</f>
        <v/>
      </c>
      <c r="R8" s="3" t="n"/>
      <c r="S8" s="3" t="n"/>
    </row>
    <row r="9" ht="20" customHeight="1">
      <c r="A9" s="4">
        <f>DATE(2025,2,3)</f>
        <v/>
      </c>
      <c r="B9" s="4" t="n">
        <v>3</v>
      </c>
      <c r="C9" s="4">
        <f>Q8</f>
        <v/>
      </c>
      <c r="D9" s="3" t="n"/>
      <c r="E9" s="3" t="n"/>
      <c r="F9" s="3" t="n"/>
      <c r="G9" s="3" t="n"/>
      <c r="H9" s="3" t="n"/>
      <c r="I9" s="3" t="n"/>
      <c r="J9" s="4">
        <f>SUM(D9:H9)+I9</f>
        <v/>
      </c>
      <c r="K9" s="3" t="n"/>
      <c r="L9" s="3" t="n"/>
      <c r="M9" s="3" t="n"/>
      <c r="N9" s="4">
        <f>SUM(K9:M9)</f>
        <v/>
      </c>
      <c r="O9" s="3" t="n"/>
      <c r="P9" s="3">
        <f>00_PARAMETROS!B5</f>
        <v/>
      </c>
      <c r="Q9" s="4">
        <f>C9+J9-N9</f>
        <v/>
      </c>
      <c r="R9" s="3" t="n"/>
      <c r="S9" s="3" t="n"/>
    </row>
    <row r="10" ht="20" customHeight="1">
      <c r="A10" s="4">
        <f>DATE(2025,2,4)</f>
        <v/>
      </c>
      <c r="B10" s="4" t="n">
        <v>4</v>
      </c>
      <c r="C10" s="4">
        <f>Q9</f>
        <v/>
      </c>
      <c r="D10" s="3" t="n"/>
      <c r="E10" s="3" t="n"/>
      <c r="F10" s="3" t="n"/>
      <c r="G10" s="3" t="n"/>
      <c r="H10" s="3" t="n"/>
      <c r="I10" s="3" t="n"/>
      <c r="J10" s="4">
        <f>SUM(D10:H10)+I10</f>
        <v/>
      </c>
      <c r="K10" s="3" t="n"/>
      <c r="L10" s="3" t="n"/>
      <c r="M10" s="3" t="n"/>
      <c r="N10" s="4">
        <f>SUM(K10:M10)</f>
        <v/>
      </c>
      <c r="O10" s="3" t="n"/>
      <c r="P10" s="3">
        <f>00_PARAMETROS!B5</f>
        <v/>
      </c>
      <c r="Q10" s="4">
        <f>C10+J10-N10</f>
        <v/>
      </c>
      <c r="R10" s="3" t="n"/>
      <c r="S10" s="3" t="n"/>
    </row>
    <row r="11" ht="20" customHeight="1">
      <c r="A11" s="4">
        <f>DATE(2025,2,5)</f>
        <v/>
      </c>
      <c r="B11" s="4" t="n">
        <v>5</v>
      </c>
      <c r="C11" s="4">
        <f>Q10</f>
        <v/>
      </c>
      <c r="D11" s="3" t="n"/>
      <c r="E11" s="3" t="n"/>
      <c r="F11" s="3" t="n"/>
      <c r="G11" s="3" t="n"/>
      <c r="H11" s="3" t="n"/>
      <c r="I11" s="3" t="n"/>
      <c r="J11" s="4">
        <f>SUM(D11:H11)+I11</f>
        <v/>
      </c>
      <c r="K11" s="3" t="n"/>
      <c r="L11" s="3" t="n"/>
      <c r="M11" s="3" t="n"/>
      <c r="N11" s="4">
        <f>SUM(K11:M11)</f>
        <v/>
      </c>
      <c r="O11" s="3" t="n"/>
      <c r="P11" s="3">
        <f>00_PARAMETROS!B5</f>
        <v/>
      </c>
      <c r="Q11" s="4">
        <f>C11+J11-N11</f>
        <v/>
      </c>
      <c r="R11" s="3" t="n"/>
      <c r="S11" s="3" t="n"/>
    </row>
    <row r="12" ht="20" customHeight="1">
      <c r="A12" s="4">
        <f>DATE(2025,2,6)</f>
        <v/>
      </c>
      <c r="B12" s="4" t="n">
        <v>6</v>
      </c>
      <c r="C12" s="4">
        <f>Q11</f>
        <v/>
      </c>
      <c r="D12" s="3" t="n"/>
      <c r="E12" s="3" t="n"/>
      <c r="F12" s="3" t="n"/>
      <c r="G12" s="3" t="n"/>
      <c r="H12" s="3" t="n"/>
      <c r="I12" s="3" t="n"/>
      <c r="J12" s="4">
        <f>SUM(D12:H12)+I12</f>
        <v/>
      </c>
      <c r="K12" s="3" t="n"/>
      <c r="L12" s="3" t="n"/>
      <c r="M12" s="3" t="n"/>
      <c r="N12" s="4">
        <f>SUM(K12:M12)</f>
        <v/>
      </c>
      <c r="O12" s="3" t="n"/>
      <c r="P12" s="3">
        <f>00_PARAMETROS!B5</f>
        <v/>
      </c>
      <c r="Q12" s="4">
        <f>C12+J12-N12</f>
        <v/>
      </c>
      <c r="R12" s="3" t="n"/>
      <c r="S12" s="3" t="n"/>
    </row>
    <row r="13" ht="20" customHeight="1">
      <c r="A13" s="4">
        <f>DATE(2025,2,7)</f>
        <v/>
      </c>
      <c r="B13" s="4" t="n">
        <v>7</v>
      </c>
      <c r="C13" s="4">
        <f>Q12</f>
        <v/>
      </c>
      <c r="D13" s="3" t="n"/>
      <c r="E13" s="3" t="n"/>
      <c r="F13" s="3" t="n"/>
      <c r="G13" s="3" t="n"/>
      <c r="H13" s="3" t="n"/>
      <c r="I13" s="3" t="n"/>
      <c r="J13" s="4">
        <f>SUM(D13:H13)+I13</f>
        <v/>
      </c>
      <c r="K13" s="3" t="n"/>
      <c r="L13" s="3" t="n"/>
      <c r="M13" s="3" t="n"/>
      <c r="N13" s="4">
        <f>SUM(K13:M13)</f>
        <v/>
      </c>
      <c r="O13" s="3" t="n"/>
      <c r="P13" s="3">
        <f>00_PARAMETROS!B5</f>
        <v/>
      </c>
      <c r="Q13" s="4">
        <f>C13+J13-N13</f>
        <v/>
      </c>
      <c r="R13" s="3" t="n"/>
      <c r="S13" s="3" t="n"/>
    </row>
    <row r="14" ht="20" customHeight="1">
      <c r="A14" s="4">
        <f>DATE(2025,2,8)</f>
        <v/>
      </c>
      <c r="B14" s="4" t="n">
        <v>8</v>
      </c>
      <c r="C14" s="4">
        <f>Q13</f>
        <v/>
      </c>
      <c r="D14" s="3" t="n"/>
      <c r="E14" s="3" t="n"/>
      <c r="F14" s="3" t="n"/>
      <c r="G14" s="3" t="n"/>
      <c r="H14" s="3" t="n"/>
      <c r="I14" s="3" t="n"/>
      <c r="J14" s="4">
        <f>SUM(D14:H14)+I14</f>
        <v/>
      </c>
      <c r="K14" s="3" t="n"/>
      <c r="L14" s="3" t="n"/>
      <c r="M14" s="3" t="n"/>
      <c r="N14" s="4">
        <f>SUM(K14:M14)</f>
        <v/>
      </c>
      <c r="O14" s="3" t="n"/>
      <c r="P14" s="3">
        <f>00_PARAMETROS!B5</f>
        <v/>
      </c>
      <c r="Q14" s="4">
        <f>C14+J14-N14</f>
        <v/>
      </c>
      <c r="R14" s="3" t="n"/>
      <c r="S14" s="3" t="n"/>
    </row>
    <row r="15" ht="20" customHeight="1">
      <c r="A15" s="4">
        <f>DATE(2025,2,9)</f>
        <v/>
      </c>
      <c r="B15" s="4" t="n">
        <v>9</v>
      </c>
      <c r="C15" s="4">
        <f>Q14</f>
        <v/>
      </c>
      <c r="D15" s="3" t="n"/>
      <c r="E15" s="3" t="n"/>
      <c r="F15" s="3" t="n"/>
      <c r="G15" s="3" t="n"/>
      <c r="H15" s="3" t="n"/>
      <c r="I15" s="3" t="n"/>
      <c r="J15" s="4">
        <f>SUM(D15:H15)+I15</f>
        <v/>
      </c>
      <c r="K15" s="3" t="n"/>
      <c r="L15" s="3" t="n"/>
      <c r="M15" s="3" t="n"/>
      <c r="N15" s="4">
        <f>SUM(K15:M15)</f>
        <v/>
      </c>
      <c r="O15" s="3" t="n"/>
      <c r="P15" s="3">
        <f>00_PARAMETROS!B5</f>
        <v/>
      </c>
      <c r="Q15" s="4">
        <f>C15+J15-N15</f>
        <v/>
      </c>
      <c r="R15" s="3" t="n"/>
      <c r="S15" s="3" t="n"/>
    </row>
    <row r="16" ht="20" customHeight="1">
      <c r="A16" s="4">
        <f>DATE(2025,2,10)</f>
        <v/>
      </c>
      <c r="B16" s="4" t="n">
        <v>10</v>
      </c>
      <c r="C16" s="4">
        <f>Q15</f>
        <v/>
      </c>
      <c r="D16" s="3" t="n"/>
      <c r="E16" s="3" t="n"/>
      <c r="F16" s="3" t="n"/>
      <c r="G16" s="3" t="n"/>
      <c r="H16" s="3" t="n"/>
      <c r="I16" s="3" t="n"/>
      <c r="J16" s="4">
        <f>SUM(D16:H16)+I16</f>
        <v/>
      </c>
      <c r="K16" s="3" t="n"/>
      <c r="L16" s="3" t="n"/>
      <c r="M16" s="3" t="n"/>
      <c r="N16" s="4">
        <f>SUM(K16:M16)</f>
        <v/>
      </c>
      <c r="O16" s="3" t="n"/>
      <c r="P16" s="3">
        <f>00_PARAMETROS!B5</f>
        <v/>
      </c>
      <c r="Q16" s="4">
        <f>C16+J16-N16</f>
        <v/>
      </c>
      <c r="R16" s="3" t="n"/>
      <c r="S16" s="3" t="n"/>
    </row>
    <row r="17" ht="20" customHeight="1">
      <c r="A17" s="4">
        <f>DATE(2025,2,11)</f>
        <v/>
      </c>
      <c r="B17" s="4" t="n">
        <v>11</v>
      </c>
      <c r="C17" s="4">
        <f>Q16</f>
        <v/>
      </c>
      <c r="D17" s="3" t="n"/>
      <c r="E17" s="3" t="n"/>
      <c r="F17" s="3" t="n"/>
      <c r="G17" s="3" t="n"/>
      <c r="H17" s="3" t="n"/>
      <c r="I17" s="3" t="n"/>
      <c r="J17" s="4">
        <f>SUM(D17:H17)+I17</f>
        <v/>
      </c>
      <c r="K17" s="3" t="n"/>
      <c r="L17" s="3" t="n"/>
      <c r="M17" s="3" t="n"/>
      <c r="N17" s="4">
        <f>SUM(K17:M17)</f>
        <v/>
      </c>
      <c r="O17" s="3" t="n"/>
      <c r="P17" s="3">
        <f>00_PARAMETROS!B5</f>
        <v/>
      </c>
      <c r="Q17" s="4">
        <f>C17+J17-N17</f>
        <v/>
      </c>
      <c r="R17" s="3" t="n"/>
      <c r="S17" s="3" t="n"/>
    </row>
    <row r="18" ht="20" customHeight="1">
      <c r="A18" s="4">
        <f>DATE(2025,2,12)</f>
        <v/>
      </c>
      <c r="B18" s="4" t="n">
        <v>12</v>
      </c>
      <c r="C18" s="4">
        <f>Q17</f>
        <v/>
      </c>
      <c r="D18" s="3" t="n"/>
      <c r="E18" s="3" t="n"/>
      <c r="F18" s="3" t="n"/>
      <c r="G18" s="3" t="n"/>
      <c r="H18" s="3" t="n"/>
      <c r="I18" s="3" t="n"/>
      <c r="J18" s="4">
        <f>SUM(D18:H18)+I18</f>
        <v/>
      </c>
      <c r="K18" s="3" t="n"/>
      <c r="L18" s="3" t="n"/>
      <c r="M18" s="3" t="n"/>
      <c r="N18" s="4">
        <f>SUM(K18:M18)</f>
        <v/>
      </c>
      <c r="O18" s="3" t="n"/>
      <c r="P18" s="3">
        <f>00_PARAMETROS!B5</f>
        <v/>
      </c>
      <c r="Q18" s="4">
        <f>C18+J18-N18</f>
        <v/>
      </c>
      <c r="R18" s="3" t="n"/>
      <c r="S18" s="3" t="n"/>
    </row>
    <row r="19" ht="20" customHeight="1">
      <c r="A19" s="4">
        <f>DATE(2025,2,13)</f>
        <v/>
      </c>
      <c r="B19" s="4" t="n">
        <v>13</v>
      </c>
      <c r="C19" s="4">
        <f>Q18</f>
        <v/>
      </c>
      <c r="D19" s="3" t="n"/>
      <c r="E19" s="3" t="n"/>
      <c r="F19" s="3" t="n"/>
      <c r="G19" s="3" t="n"/>
      <c r="H19" s="3" t="n"/>
      <c r="I19" s="3" t="n"/>
      <c r="J19" s="4">
        <f>SUM(D19:H19)+I19</f>
        <v/>
      </c>
      <c r="K19" s="3" t="n"/>
      <c r="L19" s="3" t="n"/>
      <c r="M19" s="3" t="n"/>
      <c r="N19" s="4">
        <f>SUM(K19:M19)</f>
        <v/>
      </c>
      <c r="O19" s="3" t="n"/>
      <c r="P19" s="3">
        <f>00_PARAMETROS!B5</f>
        <v/>
      </c>
      <c r="Q19" s="4">
        <f>C19+J19-N19</f>
        <v/>
      </c>
      <c r="R19" s="3" t="n"/>
      <c r="S19" s="3" t="n"/>
    </row>
    <row r="20" ht="20" customHeight="1">
      <c r="A20" s="4">
        <f>DATE(2025,2,14)</f>
        <v/>
      </c>
      <c r="B20" s="4" t="n">
        <v>14</v>
      </c>
      <c r="C20" s="4">
        <f>Q19</f>
        <v/>
      </c>
      <c r="D20" s="3" t="n"/>
      <c r="E20" s="3" t="n"/>
      <c r="F20" s="3" t="n"/>
      <c r="G20" s="3" t="n"/>
      <c r="H20" s="3" t="n"/>
      <c r="I20" s="3" t="n"/>
      <c r="J20" s="4">
        <f>SUM(D20:H20)+I20</f>
        <v/>
      </c>
      <c r="K20" s="3" t="n"/>
      <c r="L20" s="3" t="n"/>
      <c r="M20" s="3" t="n"/>
      <c r="N20" s="4">
        <f>SUM(K20:M20)</f>
        <v/>
      </c>
      <c r="O20" s="3" t="n"/>
      <c r="P20" s="3">
        <f>00_PARAMETROS!B5</f>
        <v/>
      </c>
      <c r="Q20" s="4">
        <f>C20+J20-N20</f>
        <v/>
      </c>
      <c r="R20" s="3" t="n"/>
      <c r="S20" s="3" t="n"/>
    </row>
    <row r="21" ht="20" customHeight="1">
      <c r="A21" s="4">
        <f>DATE(2025,2,15)</f>
        <v/>
      </c>
      <c r="B21" s="4" t="n">
        <v>15</v>
      </c>
      <c r="C21" s="4">
        <f>Q20</f>
        <v/>
      </c>
      <c r="D21" s="3" t="n"/>
      <c r="E21" s="3" t="n"/>
      <c r="F21" s="3" t="n"/>
      <c r="G21" s="3" t="n"/>
      <c r="H21" s="3" t="n"/>
      <c r="I21" s="3" t="n"/>
      <c r="J21" s="4">
        <f>SUM(D21:H21)+I21</f>
        <v/>
      </c>
      <c r="K21" s="3" t="n"/>
      <c r="L21" s="3" t="n"/>
      <c r="M21" s="3" t="n"/>
      <c r="N21" s="4">
        <f>SUM(K21:M21)</f>
        <v/>
      </c>
      <c r="O21" s="3" t="n"/>
      <c r="P21" s="3">
        <f>00_PARAMETROS!B5</f>
        <v/>
      </c>
      <c r="Q21" s="4">
        <f>C21+J21-N21</f>
        <v/>
      </c>
      <c r="R21" s="3" t="n"/>
      <c r="S21" s="3" t="n"/>
    </row>
    <row r="22" ht="20" customHeight="1">
      <c r="A22" s="4">
        <f>DATE(2025,2,16)</f>
        <v/>
      </c>
      <c r="B22" s="4" t="n">
        <v>16</v>
      </c>
      <c r="C22" s="4">
        <f>Q21</f>
        <v/>
      </c>
      <c r="D22" s="3" t="n"/>
      <c r="E22" s="3" t="n"/>
      <c r="F22" s="3" t="n"/>
      <c r="G22" s="3" t="n"/>
      <c r="H22" s="3" t="n"/>
      <c r="I22" s="3" t="n"/>
      <c r="J22" s="4">
        <f>SUM(D22:H22)+I22</f>
        <v/>
      </c>
      <c r="K22" s="3" t="n"/>
      <c r="L22" s="3" t="n"/>
      <c r="M22" s="3" t="n"/>
      <c r="N22" s="4">
        <f>SUM(K22:M22)</f>
        <v/>
      </c>
      <c r="O22" s="3" t="n"/>
      <c r="P22" s="3">
        <f>00_PARAMETROS!B5</f>
        <v/>
      </c>
      <c r="Q22" s="4">
        <f>C22+J22-N22</f>
        <v/>
      </c>
      <c r="R22" s="3" t="n"/>
      <c r="S22" s="3" t="n"/>
    </row>
    <row r="23" ht="20" customHeight="1">
      <c r="A23" s="4">
        <f>DATE(2025,2,17)</f>
        <v/>
      </c>
      <c r="B23" s="4" t="n">
        <v>17</v>
      </c>
      <c r="C23" s="4">
        <f>Q22</f>
        <v/>
      </c>
      <c r="D23" s="3" t="n"/>
      <c r="E23" s="3" t="n"/>
      <c r="F23" s="3" t="n"/>
      <c r="G23" s="3" t="n"/>
      <c r="H23" s="3" t="n"/>
      <c r="I23" s="3" t="n"/>
      <c r="J23" s="4">
        <f>SUM(D23:H23)+I23</f>
        <v/>
      </c>
      <c r="K23" s="3" t="n"/>
      <c r="L23" s="3" t="n"/>
      <c r="M23" s="3" t="n"/>
      <c r="N23" s="4">
        <f>SUM(K23:M23)</f>
        <v/>
      </c>
      <c r="O23" s="3" t="n"/>
      <c r="P23" s="3">
        <f>00_PARAMETROS!B5</f>
        <v/>
      </c>
      <c r="Q23" s="4">
        <f>C23+J23-N23</f>
        <v/>
      </c>
      <c r="R23" s="3" t="n"/>
      <c r="S23" s="3" t="n"/>
    </row>
    <row r="24" ht="20" customHeight="1">
      <c r="A24" s="4">
        <f>DATE(2025,2,18)</f>
        <v/>
      </c>
      <c r="B24" s="4" t="n">
        <v>18</v>
      </c>
      <c r="C24" s="4">
        <f>Q23</f>
        <v/>
      </c>
      <c r="D24" s="3" t="n"/>
      <c r="E24" s="3" t="n"/>
      <c r="F24" s="3" t="n"/>
      <c r="G24" s="3" t="n"/>
      <c r="H24" s="3" t="n"/>
      <c r="I24" s="3" t="n"/>
      <c r="J24" s="4">
        <f>SUM(D24:H24)+I24</f>
        <v/>
      </c>
      <c r="K24" s="3" t="n"/>
      <c r="L24" s="3" t="n"/>
      <c r="M24" s="3" t="n"/>
      <c r="N24" s="4">
        <f>SUM(K24:M24)</f>
        <v/>
      </c>
      <c r="O24" s="3" t="n"/>
      <c r="P24" s="3">
        <f>00_PARAMETROS!B5</f>
        <v/>
      </c>
      <c r="Q24" s="4">
        <f>C24+J24-N24</f>
        <v/>
      </c>
      <c r="R24" s="3" t="n"/>
      <c r="S24" s="3" t="n"/>
    </row>
    <row r="25" ht="20" customHeight="1">
      <c r="A25" s="4">
        <f>DATE(2025,2,19)</f>
        <v/>
      </c>
      <c r="B25" s="4" t="n">
        <v>19</v>
      </c>
      <c r="C25" s="4">
        <f>Q24</f>
        <v/>
      </c>
      <c r="D25" s="3" t="n"/>
      <c r="E25" s="3" t="n"/>
      <c r="F25" s="3" t="n"/>
      <c r="G25" s="3" t="n"/>
      <c r="H25" s="3" t="n"/>
      <c r="I25" s="3" t="n"/>
      <c r="J25" s="4">
        <f>SUM(D25:H25)+I25</f>
        <v/>
      </c>
      <c r="K25" s="3" t="n"/>
      <c r="L25" s="3" t="n"/>
      <c r="M25" s="3" t="n"/>
      <c r="N25" s="4">
        <f>SUM(K25:M25)</f>
        <v/>
      </c>
      <c r="O25" s="3" t="n"/>
      <c r="P25" s="3">
        <f>00_PARAMETROS!B5</f>
        <v/>
      </c>
      <c r="Q25" s="4">
        <f>C25+J25-N25</f>
        <v/>
      </c>
      <c r="R25" s="3" t="n"/>
      <c r="S25" s="3" t="n"/>
    </row>
    <row r="26" ht="20" customHeight="1">
      <c r="A26" s="4">
        <f>DATE(2025,2,20)</f>
        <v/>
      </c>
      <c r="B26" s="4" t="n">
        <v>20</v>
      </c>
      <c r="C26" s="4">
        <f>Q25</f>
        <v/>
      </c>
      <c r="D26" s="3" t="n"/>
      <c r="E26" s="3" t="n"/>
      <c r="F26" s="3" t="n"/>
      <c r="G26" s="3" t="n"/>
      <c r="H26" s="3" t="n"/>
      <c r="I26" s="3" t="n"/>
      <c r="J26" s="4">
        <f>SUM(D26:H26)+I26</f>
        <v/>
      </c>
      <c r="K26" s="3" t="n"/>
      <c r="L26" s="3" t="n"/>
      <c r="M26" s="3" t="n"/>
      <c r="N26" s="4">
        <f>SUM(K26:M26)</f>
        <v/>
      </c>
      <c r="O26" s="3" t="n"/>
      <c r="P26" s="3">
        <f>00_PARAMETROS!B5</f>
        <v/>
      </c>
      <c r="Q26" s="4">
        <f>C26+J26-N26</f>
        <v/>
      </c>
      <c r="R26" s="3" t="n"/>
      <c r="S26" s="3" t="n"/>
    </row>
    <row r="27" ht="20" customHeight="1">
      <c r="A27" s="4">
        <f>DATE(2025,2,21)</f>
        <v/>
      </c>
      <c r="B27" s="4" t="n">
        <v>21</v>
      </c>
      <c r="C27" s="4">
        <f>Q26</f>
        <v/>
      </c>
      <c r="D27" s="3" t="n"/>
      <c r="E27" s="3" t="n"/>
      <c r="F27" s="3" t="n"/>
      <c r="G27" s="3" t="n"/>
      <c r="H27" s="3" t="n"/>
      <c r="I27" s="3" t="n"/>
      <c r="J27" s="4">
        <f>SUM(D27:H27)+I27</f>
        <v/>
      </c>
      <c r="K27" s="3" t="n"/>
      <c r="L27" s="3" t="n"/>
      <c r="M27" s="3" t="n"/>
      <c r="N27" s="4">
        <f>SUM(K27:M27)</f>
        <v/>
      </c>
      <c r="O27" s="3" t="n"/>
      <c r="P27" s="3">
        <f>00_PARAMETROS!B5</f>
        <v/>
      </c>
      <c r="Q27" s="4">
        <f>C27+J27-N27</f>
        <v/>
      </c>
      <c r="R27" s="3" t="n"/>
      <c r="S27" s="3" t="n"/>
    </row>
    <row r="28" ht="20" customHeight="1">
      <c r="A28" s="4">
        <f>DATE(2025,2,22)</f>
        <v/>
      </c>
      <c r="B28" s="4" t="n">
        <v>22</v>
      </c>
      <c r="C28" s="4">
        <f>Q27</f>
        <v/>
      </c>
      <c r="D28" s="3" t="n"/>
      <c r="E28" s="3" t="n"/>
      <c r="F28" s="3" t="n"/>
      <c r="G28" s="3" t="n"/>
      <c r="H28" s="3" t="n"/>
      <c r="I28" s="3" t="n"/>
      <c r="J28" s="4">
        <f>SUM(D28:H28)+I28</f>
        <v/>
      </c>
      <c r="K28" s="3" t="n"/>
      <c r="L28" s="3" t="n"/>
      <c r="M28" s="3" t="n"/>
      <c r="N28" s="4">
        <f>SUM(K28:M28)</f>
        <v/>
      </c>
      <c r="O28" s="3" t="n"/>
      <c r="P28" s="3">
        <f>00_PARAMETROS!B5</f>
        <v/>
      </c>
      <c r="Q28" s="4">
        <f>C28+J28-N28</f>
        <v/>
      </c>
      <c r="R28" s="3" t="n"/>
      <c r="S28" s="3" t="n"/>
    </row>
    <row r="29" ht="20" customHeight="1">
      <c r="A29" s="4">
        <f>DATE(2025,2,23)</f>
        <v/>
      </c>
      <c r="B29" s="4" t="n">
        <v>23</v>
      </c>
      <c r="C29" s="4">
        <f>Q28</f>
        <v/>
      </c>
      <c r="D29" s="3" t="n"/>
      <c r="E29" s="3" t="n"/>
      <c r="F29" s="3" t="n"/>
      <c r="G29" s="3" t="n"/>
      <c r="H29" s="3" t="n"/>
      <c r="I29" s="3" t="n"/>
      <c r="J29" s="4">
        <f>SUM(D29:H29)+I29</f>
        <v/>
      </c>
      <c r="K29" s="3" t="n"/>
      <c r="L29" s="3" t="n"/>
      <c r="M29" s="3" t="n"/>
      <c r="N29" s="4">
        <f>SUM(K29:M29)</f>
        <v/>
      </c>
      <c r="O29" s="3" t="n"/>
      <c r="P29" s="3">
        <f>00_PARAMETROS!B5</f>
        <v/>
      </c>
      <c r="Q29" s="4">
        <f>C29+J29-N29</f>
        <v/>
      </c>
      <c r="R29" s="3" t="n"/>
      <c r="S29" s="3" t="n"/>
    </row>
    <row r="30" ht="20" customHeight="1">
      <c r="A30" s="4">
        <f>DATE(2025,2,24)</f>
        <v/>
      </c>
      <c r="B30" s="4" t="n">
        <v>24</v>
      </c>
      <c r="C30" s="4">
        <f>Q29</f>
        <v/>
      </c>
      <c r="D30" s="3" t="n"/>
      <c r="E30" s="3" t="n"/>
      <c r="F30" s="3" t="n"/>
      <c r="G30" s="3" t="n"/>
      <c r="H30" s="3" t="n"/>
      <c r="I30" s="3" t="n"/>
      <c r="J30" s="4">
        <f>SUM(D30:H30)+I30</f>
        <v/>
      </c>
      <c r="K30" s="3" t="n"/>
      <c r="L30" s="3" t="n"/>
      <c r="M30" s="3" t="n"/>
      <c r="N30" s="4">
        <f>SUM(K30:M30)</f>
        <v/>
      </c>
      <c r="O30" s="3" t="n"/>
      <c r="P30" s="3">
        <f>00_PARAMETROS!B5</f>
        <v/>
      </c>
      <c r="Q30" s="4">
        <f>C30+J30-N30</f>
        <v/>
      </c>
      <c r="R30" s="3" t="n"/>
      <c r="S30" s="3" t="n"/>
    </row>
    <row r="31" ht="20" customHeight="1">
      <c r="A31" s="4">
        <f>DATE(2025,2,25)</f>
        <v/>
      </c>
      <c r="B31" s="4" t="n">
        <v>25</v>
      </c>
      <c r="C31" s="4">
        <f>Q30</f>
        <v/>
      </c>
      <c r="D31" s="3" t="n"/>
      <c r="E31" s="3" t="n"/>
      <c r="F31" s="3" t="n"/>
      <c r="G31" s="3" t="n"/>
      <c r="H31" s="3" t="n"/>
      <c r="I31" s="3" t="n"/>
      <c r="J31" s="4">
        <f>SUM(D31:H31)+I31</f>
        <v/>
      </c>
      <c r="K31" s="3" t="n"/>
      <c r="L31" s="3" t="n"/>
      <c r="M31" s="3" t="n"/>
      <c r="N31" s="4">
        <f>SUM(K31:M31)</f>
        <v/>
      </c>
      <c r="O31" s="3" t="n"/>
      <c r="P31" s="3">
        <f>00_PARAMETROS!B5</f>
        <v/>
      </c>
      <c r="Q31" s="4">
        <f>C31+J31-N31</f>
        <v/>
      </c>
      <c r="R31" s="3" t="n"/>
      <c r="S31" s="3" t="n"/>
    </row>
    <row r="32" ht="20" customHeight="1">
      <c r="A32" s="4">
        <f>DATE(2025,2,26)</f>
        <v/>
      </c>
      <c r="B32" s="4" t="n">
        <v>26</v>
      </c>
      <c r="C32" s="4">
        <f>Q31</f>
        <v/>
      </c>
      <c r="D32" s="3" t="n"/>
      <c r="E32" s="3" t="n"/>
      <c r="F32" s="3" t="n"/>
      <c r="G32" s="3" t="n"/>
      <c r="H32" s="3" t="n"/>
      <c r="I32" s="3" t="n"/>
      <c r="J32" s="4">
        <f>SUM(D32:H32)+I32</f>
        <v/>
      </c>
      <c r="K32" s="3" t="n"/>
      <c r="L32" s="3" t="n"/>
      <c r="M32" s="3" t="n"/>
      <c r="N32" s="4">
        <f>SUM(K32:M32)</f>
        <v/>
      </c>
      <c r="O32" s="3" t="n"/>
      <c r="P32" s="3">
        <f>00_PARAMETROS!B5</f>
        <v/>
      </c>
      <c r="Q32" s="4">
        <f>C32+J32-N32</f>
        <v/>
      </c>
      <c r="R32" s="3" t="n"/>
      <c r="S32" s="3" t="n"/>
    </row>
    <row r="33" ht="20" customHeight="1">
      <c r="A33" s="4">
        <f>DATE(2025,2,27)</f>
        <v/>
      </c>
      <c r="B33" s="4" t="n">
        <v>27</v>
      </c>
      <c r="C33" s="4">
        <f>Q32</f>
        <v/>
      </c>
      <c r="D33" s="3" t="n"/>
      <c r="E33" s="3" t="n"/>
      <c r="F33" s="3" t="n"/>
      <c r="G33" s="3" t="n"/>
      <c r="H33" s="3" t="n"/>
      <c r="I33" s="3" t="n"/>
      <c r="J33" s="4">
        <f>SUM(D33:H33)+I33</f>
        <v/>
      </c>
      <c r="K33" s="3" t="n"/>
      <c r="L33" s="3" t="n"/>
      <c r="M33" s="3" t="n"/>
      <c r="N33" s="4">
        <f>SUM(K33:M33)</f>
        <v/>
      </c>
      <c r="O33" s="3" t="n"/>
      <c r="P33" s="3">
        <f>00_PARAMETROS!B5</f>
        <v/>
      </c>
      <c r="Q33" s="4">
        <f>C33+J33-N33</f>
        <v/>
      </c>
      <c r="R33" s="3" t="n"/>
      <c r="S33" s="3" t="n"/>
    </row>
    <row r="34" ht="20" customHeight="1">
      <c r="A34" s="4">
        <f>DATE(2025,2,28)</f>
        <v/>
      </c>
      <c r="B34" s="4" t="n">
        <v>28</v>
      </c>
      <c r="C34" s="4">
        <f>Q33</f>
        <v/>
      </c>
      <c r="D34" s="3" t="n"/>
      <c r="E34" s="3" t="n"/>
      <c r="F34" s="3" t="n"/>
      <c r="G34" s="3" t="n"/>
      <c r="H34" s="3" t="n"/>
      <c r="I34" s="3" t="n"/>
      <c r="J34" s="4">
        <f>SUM(D34:H34)+I34</f>
        <v/>
      </c>
      <c r="K34" s="3" t="n"/>
      <c r="L34" s="3" t="n"/>
      <c r="M34" s="3" t="n"/>
      <c r="N34" s="4">
        <f>SUM(K34:M34)</f>
        <v/>
      </c>
      <c r="O34" s="3" t="n"/>
      <c r="P34" s="3">
        <f>00_PARAMETROS!B5</f>
        <v/>
      </c>
      <c r="Q34" s="4">
        <f>C34+J34-N34</f>
        <v/>
      </c>
      <c r="R34" s="3" t="n"/>
      <c r="S34" s="3" t="n"/>
    </row>
    <row r="35" ht="20" customHeight="1">
      <c r="A35" s="2" t="inlineStr">
        <is>
          <t>TOTAL</t>
        </is>
      </c>
      <c r="B35" s="7" t="n"/>
      <c r="C35" s="7" t="n"/>
      <c r="D35" s="8">
        <f>SUM(D7:D34)</f>
        <v/>
      </c>
      <c r="E35" s="8">
        <f>SUM(E7:E34)</f>
        <v/>
      </c>
      <c r="F35" s="8">
        <f>SUM(F7:F34)</f>
        <v/>
      </c>
      <c r="G35" s="8">
        <f>SUM(G7:G34)</f>
        <v/>
      </c>
      <c r="H35" s="8">
        <f>SUM(H7:H34)</f>
        <v/>
      </c>
      <c r="I35" s="8">
        <f>SUM(I7:I34)</f>
        <v/>
      </c>
      <c r="J35" s="8">
        <f>SUM(J7:J34)</f>
        <v/>
      </c>
      <c r="K35" s="8">
        <f>SUM(K7:K34)</f>
        <v/>
      </c>
      <c r="L35" s="8">
        <f>SUM(L7:L34)</f>
        <v/>
      </c>
      <c r="M35" s="8">
        <f>SUM(M7:M34)</f>
        <v/>
      </c>
      <c r="N35" s="8">
        <f>SUM(N7:N34)</f>
        <v/>
      </c>
      <c r="O35" s="8">
        <f>SUM(O7:O34)</f>
        <v/>
      </c>
      <c r="P35" s="8">
        <f>SUM(P7:P34)</f>
        <v/>
      </c>
      <c r="Q35" s="8">
        <f>SUM(Q7:Q34)</f>
        <v/>
      </c>
      <c r="R35" s="8">
        <f>SUM(R7:R34)</f>
        <v/>
      </c>
      <c r="S35" s="8">
        <f>SUM(S7:S34)</f>
        <v/>
      </c>
    </row>
    <row r="36" ht="20" customHeight="1"/>
    <row r="37" ht="20" customHeight="1"/>
    <row r="38" ht="20" customHeight="1">
      <c r="A38" s="2" t="inlineStr">
        <is>
          <t>RESUMEN DEL MES</t>
        </is>
      </c>
      <c r="B38" s="9" t="n"/>
      <c r="C38" s="9" t="n"/>
      <c r="D38" s="10" t="n"/>
    </row>
    <row r="39" ht="20" customHeight="1">
      <c r="A39" s="11" t="inlineStr">
        <is>
          <t>Ingresos</t>
        </is>
      </c>
      <c r="B39" s="4">
        <f>J35</f>
        <v/>
      </c>
    </row>
    <row r="40" ht="20" customHeight="1">
      <c r="A40" s="11" t="inlineStr">
        <is>
          <t>Altas al hogar / otro hosp.</t>
        </is>
      </c>
      <c r="B40" s="4">
        <f>K35</f>
        <v/>
      </c>
    </row>
    <row r="41" ht="20" customHeight="1">
      <c r="A41" s="11" t="inlineStr">
        <is>
          <t>Traslados a otro servicio</t>
        </is>
      </c>
      <c r="B41" s="4">
        <f>L35</f>
        <v/>
      </c>
    </row>
    <row r="42" ht="20" customHeight="1">
      <c r="A42" s="11" t="inlineStr">
        <is>
          <t>Fallecidos</t>
        </is>
      </c>
      <c r="B42" s="4">
        <f>M35</f>
        <v/>
      </c>
    </row>
    <row r="43" ht="20" customHeight="1">
      <c r="A43" s="11" t="inlineStr">
        <is>
          <t>Total egresos</t>
        </is>
      </c>
      <c r="B43" s="4">
        <f>N35</f>
        <v/>
      </c>
    </row>
    <row r="44" ht="20" customHeight="1">
      <c r="A44" s="11" t="inlineStr">
        <is>
          <t>Pacientes atendidos del mes</t>
        </is>
      </c>
      <c r="B44" s="4">
        <f>C7+J35</f>
        <v/>
      </c>
    </row>
    <row r="45" ht="20" customHeight="1">
      <c r="A45" s="11" t="inlineStr">
        <is>
          <t>Dias personas atendidas</t>
        </is>
      </c>
      <c r="B45" s="4">
        <f>R35</f>
        <v/>
      </c>
    </row>
    <row r="46" ht="20" customHeight="1">
      <c r="A46" s="11" t="inlineStr">
        <is>
          <t>Indice ocupacional %</t>
        </is>
      </c>
      <c r="B46" s="12">
        <f>IFERROR(Q35/P35,"")</f>
        <v/>
      </c>
    </row>
    <row r="47" ht="20" customHeight="1">
      <c r="A47" s="11" t="inlineStr">
        <is>
          <t>Promedio dia de estada</t>
        </is>
      </c>
      <c r="B47" s="13">
        <f>IFERROR(R35/N35,"")</f>
        <v/>
      </c>
    </row>
  </sheetData>
  <sheetProtection selectLockedCells="1" selectUnlockedCells="1" sheet="1" objects="0" insertRows="1" insertHyperlinks="1" autoFilter="1" scenarios="0" formatColumns="1" deleteColumns="1" insertColumns="1" pivotTables="1" deleteRows="1" formatCells="1" formatRows="1" sort="1" password="C752"/>
  <mergeCells count="3">
    <mergeCell ref="U1:W1"/>
    <mergeCell ref="A38:D38"/>
    <mergeCell ref="A1:S1"/>
  </mergeCells>
  <dataValidations count="1">
    <dataValidation sqref="D7 D8 D9 D10 D11 D12 D13 D14 D15 D16 D17 D18 D19 D20 D21 D22 D23 D24 D25 D26 D27 D28 D29 D30 D31 D32 D33 D34 E7 E8 E9 E10 E11 E12 E13 E14 E15 E16 E17 E18 E19 E20 E21 E22 E23 E24 E25 E26 E27 E28 E29 E30 E31 E32 E33 E34 F7 F8 F9 F10 F11 F12 F13 F14 F15 F16 F17 F18 F19 F20 F21 F22 F23 F24 F25 F26 F27 F28 F29 F30 F31 F32 F33 F34 G7 G8 G9 G10 G11 G12 G13 G14 G15 G16 G17 G18 G19 G20 G21 G22 G23 G24 G25 G26 G27 G28 G29 G30 G31 G32 G33 G34 H7 H8 H9 H10 H11 H12 H13 H14 H15 H16 H17 H18 H19 H20 H21 H22 H23 H24 H25 H26 H27 H28 H29 H30 H31 H32 H33 H34 I7 I8 I9 I10 I11 I12 I13 I14 I15 I16 I17 I18 I19 I20 I21 I22 I23 I24 I25 I26 I27 I28 I29 I30 I31 I32 I33 I34 K7 K8 K9 K10 K11 K12 K13 K14 K15 K16 K17 K18 K19 K20 K21 K22 K23 K24 K25 K26 K27 K28 K29 K30 K31 K32 K33 K34 L7 L8 L9 L10 L11 L12 L13 L14 L15 L16 L17 L18 L19 L20 L21 L22 L23 L24 L25 L26 L27 L28 L29 L30 L31 L32 L33 L34 M7 M8 M9 M10 M11 M12 M13 M14 M15 M16 M17 M18 M19 M20 M21 M22 M23 M24 M25 M26 M27 M28 M29 M30 M31 M32 M33 M34 O7 O8 O9 O10 O11 O12 O13 O14 O15 O16 O17 O18 O19 O20 O21 O22 O23 O24 O25 O26 O27 O28 O29 O30 O31 O32 O33 O34 P7 P8 P9 P10 P11 P12 P13 P14 P15 P16 P17 P18 P19 P20 P21 P22 P23 P24 P25 P26 P27 P28 P29 P30 P31 P32 P33 P34 R7 R8 R9 R10 R11 R12 R13 R14 R15 R16 R17 R18 R19 R20 R21 R22 R23 R24 R25 R26 R27 R28 R29 R30 R31 R32 R33 R34 S7 S8 S9 S10 S11 S12 S13 S14 S15 S16 S17 S18 S19 S20 S21 S22 S23 S24 S25 S26 S27 S28 S29 S30 S31 S32 S33 S34" showDropDown="0" showInputMessage="0" showErrorMessage="0" allowBlank="1" prompt="Ingresa un numero entero mayor o igual a 0." type="whole" operator="greaterThanOrEqual">
      <formula1>0</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50"/>
  <sheetViews>
    <sheetView showGridLines="1" workbookViewId="0">
      <pane ySplit="6" topLeftCell="A7" activePane="bottomLeft" state="frozen"/>
      <selection pane="bottomLeft" activeCell="A1" sqref="A1"/>
    </sheetView>
  </sheetViews>
  <sheetFormatPr baseColWidth="8" defaultRowHeight="15"/>
  <cols>
    <col width="13" customWidth="1" min="1" max="1"/>
    <col width="7" customWidth="1" min="2" max="2"/>
    <col width="20" customWidth="1" min="3" max="3"/>
    <col width="13" customWidth="1" min="4" max="4"/>
    <col width="18" customWidth="1" min="5" max="5"/>
    <col width="15" customWidth="1" min="6" max="6"/>
    <col width="16" customWidth="1" min="7" max="7"/>
    <col width="10" customWidth="1" min="8" max="8"/>
    <col width="15" customWidth="1" min="9" max="9"/>
    <col width="13" customWidth="1" min="10" max="10"/>
    <col width="20" customWidth="1" min="11" max="11"/>
    <col width="22" customWidth="1" min="12" max="12"/>
    <col width="14" customWidth="1" min="13" max="13"/>
    <col width="13" customWidth="1" min="14" max="14"/>
    <col width="18" customWidth="1" min="15" max="15"/>
    <col width="18" customWidth="1" min="16" max="16"/>
    <col width="17" customWidth="1" min="17" max="17"/>
    <col width="16" customWidth="1" min="18" max="18"/>
    <col width="16" customWidth="1" min="19" max="19"/>
    <col width="34" customWidth="1" min="21" max="21"/>
    <col width="12" customWidth="1" min="22" max="22"/>
  </cols>
  <sheetData>
    <row r="1" ht="20" customHeight="1">
      <c r="A1" s="1" t="inlineStr">
        <is>
          <t>RESUMEN MENSUAL HODOM</t>
        </is>
      </c>
      <c r="U1" s="1" t="inlineStr">
        <is>
          <t>CONTROL</t>
        </is>
      </c>
    </row>
    <row r="2" ht="20" customHeight="1">
      <c r="A2" s="2" t="inlineStr">
        <is>
          <t>Servicio</t>
        </is>
      </c>
      <c r="B2" s="4">
        <f>00_PARAMETROS!B3</f>
        <v/>
      </c>
      <c r="C2" s="2" t="inlineStr">
        <is>
          <t>Codigo</t>
        </is>
      </c>
      <c r="D2" s="4">
        <f>00_PARAMETROS!B4</f>
        <v/>
      </c>
      <c r="E2" s="2" t="inlineStr">
        <is>
          <t>Mes</t>
        </is>
      </c>
      <c r="F2" s="3" t="inlineStr">
        <is>
          <t>MARZO</t>
        </is>
      </c>
      <c r="G2" s="2" t="inlineStr">
        <is>
          <t>Ano</t>
        </is>
      </c>
      <c r="H2" s="3" t="n">
        <v>2025</v>
      </c>
    </row>
    <row r="3" ht="20" customHeight="1">
      <c r="A3" s="2" t="inlineStr">
        <is>
          <t>Camas base</t>
        </is>
      </c>
      <c r="B3" s="4">
        <f>00_PARAMETROS!B5</f>
        <v/>
      </c>
      <c r="C3" s="2" t="inlineStr">
        <is>
          <t>Promedio camas</t>
        </is>
      </c>
      <c r="D3" s="4">
        <f>AVERAGE(P7:P37)</f>
        <v/>
      </c>
      <c r="E3" s="2" t="inlineStr">
        <is>
          <t>Dias del mes</t>
        </is>
      </c>
      <c r="F3" s="3" t="n">
        <v>31</v>
      </c>
      <c r="U3" s="5" t="inlineStr">
        <is>
          <t>Dias con ocupacion negativa</t>
        </is>
      </c>
      <c r="V3" s="4">
        <f>COUNTIF(Q7:Q37,"&lt;0")</f>
        <v/>
      </c>
    </row>
    <row r="4" ht="20" customHeight="1">
      <c r="U4" s="5" t="inlineStr">
        <is>
          <t>Dias sin camas disponibles</t>
        </is>
      </c>
      <c r="V4" s="4">
        <f>COUNTBLANK(P7:P37)</f>
        <v/>
      </c>
    </row>
    <row r="5" ht="20" customHeight="1">
      <c r="U5" s="5" t="inlineStr">
        <is>
          <t>Primer dia sin existencia inicial</t>
        </is>
      </c>
      <c r="V5" s="4">
        <f>IF(C7="",1,0)</f>
        <v/>
      </c>
    </row>
    <row r="6" ht="36" customHeight="1">
      <c r="A6" s="6" t="inlineStr">
        <is>
          <t>Fecha</t>
        </is>
      </c>
      <c r="B6" s="6" t="inlineStr">
        <is>
          <t>Dia</t>
        </is>
      </c>
      <c r="C6" s="6" t="inlineStr">
        <is>
          <t>Existencia dia anterior</t>
        </is>
      </c>
      <c r="D6" s="6" t="inlineStr">
        <is>
          <t>Ing. urgencia</t>
        </is>
      </c>
      <c r="E6" s="6" t="inlineStr">
        <is>
          <t>Ing. hospitalizacion</t>
        </is>
      </c>
      <c r="F6" s="6" t="inlineStr">
        <is>
          <t>Ing. ambulatorio</t>
        </is>
      </c>
      <c r="G6" s="6" t="inlineStr">
        <is>
          <t>Ing. ley urgencia</t>
        </is>
      </c>
      <c r="H6" s="6" t="inlineStr">
        <is>
          <t>Ing. UGCC</t>
        </is>
      </c>
      <c r="I6" s="6" t="inlineStr">
        <is>
          <t>Ing. por traslado</t>
        </is>
      </c>
      <c r="J6" s="6" t="inlineStr">
        <is>
          <t>Total ingresos</t>
        </is>
      </c>
      <c r="K6" s="6" t="inlineStr">
        <is>
          <t>Egr. alta hogar / otro hosp.</t>
        </is>
      </c>
      <c r="L6" s="6" t="inlineStr">
        <is>
          <t>Egr. traslado a otro servicio</t>
        </is>
      </c>
      <c r="M6" s="6" t="inlineStr">
        <is>
          <t>Egr. fallecidos</t>
        </is>
      </c>
      <c r="N6" s="6" t="inlineStr">
        <is>
          <t>Total egresos</t>
        </is>
      </c>
      <c r="O6" s="6" t="inlineStr">
        <is>
          <t>Ingr.-egr. mismo dia</t>
        </is>
      </c>
      <c r="P6" s="6" t="inlineStr">
        <is>
          <t>Dias cama disponibles</t>
        </is>
      </c>
      <c r="Q6" s="6" t="inlineStr">
        <is>
          <t>Dias cama ocupadas</t>
        </is>
      </c>
      <c r="R6" s="6" t="inlineStr">
        <is>
          <t>Dias estada total</t>
        </is>
      </c>
      <c r="S6" s="6" t="inlineStr">
        <is>
          <t>Dias estada benef.</t>
        </is>
      </c>
      <c r="U6" s="5" t="inlineStr">
        <is>
          <t>Dias con total ingresos manualmente alterado</t>
        </is>
      </c>
      <c r="V6" s="4" t="inlineStr">
        <is>
          <t>0</t>
        </is>
      </c>
    </row>
    <row r="7" ht="20" customHeight="1">
      <c r="A7" s="4">
        <f>DATE(2025,3,1)</f>
        <v/>
      </c>
      <c r="B7" s="4" t="n">
        <v>1</v>
      </c>
      <c r="C7" s="3" t="n"/>
      <c r="D7" s="3" t="n"/>
      <c r="E7" s="3" t="n"/>
      <c r="F7" s="3" t="n"/>
      <c r="G7" s="3" t="n"/>
      <c r="H7" s="3" t="n"/>
      <c r="I7" s="3" t="n"/>
      <c r="J7" s="4">
        <f>SUM(D7:H7)+I7</f>
        <v/>
      </c>
      <c r="K7" s="3" t="n"/>
      <c r="L7" s="3" t="n"/>
      <c r="M7" s="3" t="n"/>
      <c r="N7" s="4">
        <f>SUM(K7:M7)</f>
        <v/>
      </c>
      <c r="O7" s="3" t="n"/>
      <c r="P7" s="3">
        <f>00_PARAMETROS!B5</f>
        <v/>
      </c>
      <c r="Q7" s="4">
        <f>C7+J7-N7</f>
        <v/>
      </c>
      <c r="R7" s="3" t="n"/>
      <c r="S7" s="3" t="n"/>
      <c r="U7" s="5" t="inlineStr">
        <is>
          <t>Dias con total egresos manualmente alterado</t>
        </is>
      </c>
      <c r="V7" s="4" t="inlineStr">
        <is>
          <t>0</t>
        </is>
      </c>
    </row>
    <row r="8" ht="20" customHeight="1">
      <c r="A8" s="4">
        <f>DATE(2025,3,2)</f>
        <v/>
      </c>
      <c r="B8" s="4" t="n">
        <v>2</v>
      </c>
      <c r="C8" s="4">
        <f>Q7</f>
        <v/>
      </c>
      <c r="D8" s="3" t="n"/>
      <c r="E8" s="3" t="n"/>
      <c r="F8" s="3" t="n"/>
      <c r="G8" s="3" t="n"/>
      <c r="H8" s="3" t="n"/>
      <c r="I8" s="3" t="n"/>
      <c r="J8" s="4">
        <f>SUM(D8:H8)+I8</f>
        <v/>
      </c>
      <c r="K8" s="3" t="n"/>
      <c r="L8" s="3" t="n"/>
      <c r="M8" s="3" t="n"/>
      <c r="N8" s="4">
        <f>SUM(K8:M8)</f>
        <v/>
      </c>
      <c r="O8" s="3" t="n"/>
      <c r="P8" s="3">
        <f>00_PARAMETROS!B5</f>
        <v/>
      </c>
      <c r="Q8" s="4">
        <f>C8+J8-N8</f>
        <v/>
      </c>
      <c r="R8" s="3" t="n"/>
      <c r="S8" s="3" t="n"/>
    </row>
    <row r="9" ht="20" customHeight="1">
      <c r="A9" s="4">
        <f>DATE(2025,3,3)</f>
        <v/>
      </c>
      <c r="B9" s="4" t="n">
        <v>3</v>
      </c>
      <c r="C9" s="4">
        <f>Q8</f>
        <v/>
      </c>
      <c r="D9" s="3" t="n"/>
      <c r="E9" s="3" t="n"/>
      <c r="F9" s="3" t="n"/>
      <c r="G9" s="3" t="n"/>
      <c r="H9" s="3" t="n"/>
      <c r="I9" s="3" t="n"/>
      <c r="J9" s="4">
        <f>SUM(D9:H9)+I9</f>
        <v/>
      </c>
      <c r="K9" s="3" t="n"/>
      <c r="L9" s="3" t="n"/>
      <c r="M9" s="3" t="n"/>
      <c r="N9" s="4">
        <f>SUM(K9:M9)</f>
        <v/>
      </c>
      <c r="O9" s="3" t="n"/>
      <c r="P9" s="3">
        <f>00_PARAMETROS!B5</f>
        <v/>
      </c>
      <c r="Q9" s="4">
        <f>C9+J9-N9</f>
        <v/>
      </c>
      <c r="R9" s="3" t="n"/>
      <c r="S9" s="3" t="n"/>
    </row>
    <row r="10" ht="20" customHeight="1">
      <c r="A10" s="4">
        <f>DATE(2025,3,4)</f>
        <v/>
      </c>
      <c r="B10" s="4" t="n">
        <v>4</v>
      </c>
      <c r="C10" s="4">
        <f>Q9</f>
        <v/>
      </c>
      <c r="D10" s="3" t="n"/>
      <c r="E10" s="3" t="n"/>
      <c r="F10" s="3" t="n"/>
      <c r="G10" s="3" t="n"/>
      <c r="H10" s="3" t="n"/>
      <c r="I10" s="3" t="n"/>
      <c r="J10" s="4">
        <f>SUM(D10:H10)+I10</f>
        <v/>
      </c>
      <c r="K10" s="3" t="n"/>
      <c r="L10" s="3" t="n"/>
      <c r="M10" s="3" t="n"/>
      <c r="N10" s="4">
        <f>SUM(K10:M10)</f>
        <v/>
      </c>
      <c r="O10" s="3" t="n"/>
      <c r="P10" s="3">
        <f>00_PARAMETROS!B5</f>
        <v/>
      </c>
      <c r="Q10" s="4">
        <f>C10+J10-N10</f>
        <v/>
      </c>
      <c r="R10" s="3" t="n"/>
      <c r="S10" s="3" t="n"/>
    </row>
    <row r="11" ht="20" customHeight="1">
      <c r="A11" s="4">
        <f>DATE(2025,3,5)</f>
        <v/>
      </c>
      <c r="B11" s="4" t="n">
        <v>5</v>
      </c>
      <c r="C11" s="4">
        <f>Q10</f>
        <v/>
      </c>
      <c r="D11" s="3" t="n"/>
      <c r="E11" s="3" t="n"/>
      <c r="F11" s="3" t="n"/>
      <c r="G11" s="3" t="n"/>
      <c r="H11" s="3" t="n"/>
      <c r="I11" s="3" t="n"/>
      <c r="J11" s="4">
        <f>SUM(D11:H11)+I11</f>
        <v/>
      </c>
      <c r="K11" s="3" t="n"/>
      <c r="L11" s="3" t="n"/>
      <c r="M11" s="3" t="n"/>
      <c r="N11" s="4">
        <f>SUM(K11:M11)</f>
        <v/>
      </c>
      <c r="O11" s="3" t="n"/>
      <c r="P11" s="3">
        <f>00_PARAMETROS!B5</f>
        <v/>
      </c>
      <c r="Q11" s="4">
        <f>C11+J11-N11</f>
        <v/>
      </c>
      <c r="R11" s="3" t="n"/>
      <c r="S11" s="3" t="n"/>
    </row>
    <row r="12" ht="20" customHeight="1">
      <c r="A12" s="4">
        <f>DATE(2025,3,6)</f>
        <v/>
      </c>
      <c r="B12" s="4" t="n">
        <v>6</v>
      </c>
      <c r="C12" s="4">
        <f>Q11</f>
        <v/>
      </c>
      <c r="D12" s="3" t="n"/>
      <c r="E12" s="3" t="n"/>
      <c r="F12" s="3" t="n"/>
      <c r="G12" s="3" t="n"/>
      <c r="H12" s="3" t="n"/>
      <c r="I12" s="3" t="n"/>
      <c r="J12" s="4">
        <f>SUM(D12:H12)+I12</f>
        <v/>
      </c>
      <c r="K12" s="3" t="n"/>
      <c r="L12" s="3" t="n"/>
      <c r="M12" s="3" t="n"/>
      <c r="N12" s="4">
        <f>SUM(K12:M12)</f>
        <v/>
      </c>
      <c r="O12" s="3" t="n"/>
      <c r="P12" s="3">
        <f>00_PARAMETROS!B5</f>
        <v/>
      </c>
      <c r="Q12" s="4">
        <f>C12+J12-N12</f>
        <v/>
      </c>
      <c r="R12" s="3" t="n"/>
      <c r="S12" s="3" t="n"/>
    </row>
    <row r="13" ht="20" customHeight="1">
      <c r="A13" s="4">
        <f>DATE(2025,3,7)</f>
        <v/>
      </c>
      <c r="B13" s="4" t="n">
        <v>7</v>
      </c>
      <c r="C13" s="4">
        <f>Q12</f>
        <v/>
      </c>
      <c r="D13" s="3" t="n"/>
      <c r="E13" s="3" t="n"/>
      <c r="F13" s="3" t="n"/>
      <c r="G13" s="3" t="n"/>
      <c r="H13" s="3" t="n"/>
      <c r="I13" s="3" t="n"/>
      <c r="J13" s="4">
        <f>SUM(D13:H13)+I13</f>
        <v/>
      </c>
      <c r="K13" s="3" t="n"/>
      <c r="L13" s="3" t="n"/>
      <c r="M13" s="3" t="n"/>
      <c r="N13" s="4">
        <f>SUM(K13:M13)</f>
        <v/>
      </c>
      <c r="O13" s="3" t="n"/>
      <c r="P13" s="3">
        <f>00_PARAMETROS!B5</f>
        <v/>
      </c>
      <c r="Q13" s="4">
        <f>C13+J13-N13</f>
        <v/>
      </c>
      <c r="R13" s="3" t="n"/>
      <c r="S13" s="3" t="n"/>
    </row>
    <row r="14" ht="20" customHeight="1">
      <c r="A14" s="4">
        <f>DATE(2025,3,8)</f>
        <v/>
      </c>
      <c r="B14" s="4" t="n">
        <v>8</v>
      </c>
      <c r="C14" s="4">
        <f>Q13</f>
        <v/>
      </c>
      <c r="D14" s="3" t="n"/>
      <c r="E14" s="3" t="n"/>
      <c r="F14" s="3" t="n"/>
      <c r="G14" s="3" t="n"/>
      <c r="H14" s="3" t="n"/>
      <c r="I14" s="3" t="n"/>
      <c r="J14" s="4">
        <f>SUM(D14:H14)+I14</f>
        <v/>
      </c>
      <c r="K14" s="3" t="n"/>
      <c r="L14" s="3" t="n"/>
      <c r="M14" s="3" t="n"/>
      <c r="N14" s="4">
        <f>SUM(K14:M14)</f>
        <v/>
      </c>
      <c r="O14" s="3" t="n"/>
      <c r="P14" s="3">
        <f>00_PARAMETROS!B5</f>
        <v/>
      </c>
      <c r="Q14" s="4">
        <f>C14+J14-N14</f>
        <v/>
      </c>
      <c r="R14" s="3" t="n"/>
      <c r="S14" s="3" t="n"/>
    </row>
    <row r="15" ht="20" customHeight="1">
      <c r="A15" s="4">
        <f>DATE(2025,3,9)</f>
        <v/>
      </c>
      <c r="B15" s="4" t="n">
        <v>9</v>
      </c>
      <c r="C15" s="4">
        <f>Q14</f>
        <v/>
      </c>
      <c r="D15" s="3" t="n"/>
      <c r="E15" s="3" t="n"/>
      <c r="F15" s="3" t="n"/>
      <c r="G15" s="3" t="n"/>
      <c r="H15" s="3" t="n"/>
      <c r="I15" s="3" t="n"/>
      <c r="J15" s="4">
        <f>SUM(D15:H15)+I15</f>
        <v/>
      </c>
      <c r="K15" s="3" t="n"/>
      <c r="L15" s="3" t="n"/>
      <c r="M15" s="3" t="n"/>
      <c r="N15" s="4">
        <f>SUM(K15:M15)</f>
        <v/>
      </c>
      <c r="O15" s="3" t="n"/>
      <c r="P15" s="3">
        <f>00_PARAMETROS!B5</f>
        <v/>
      </c>
      <c r="Q15" s="4">
        <f>C15+J15-N15</f>
        <v/>
      </c>
      <c r="R15" s="3" t="n"/>
      <c r="S15" s="3" t="n"/>
    </row>
    <row r="16" ht="20" customHeight="1">
      <c r="A16" s="4">
        <f>DATE(2025,3,10)</f>
        <v/>
      </c>
      <c r="B16" s="4" t="n">
        <v>10</v>
      </c>
      <c r="C16" s="4">
        <f>Q15</f>
        <v/>
      </c>
      <c r="D16" s="3" t="n"/>
      <c r="E16" s="3" t="n"/>
      <c r="F16" s="3" t="n"/>
      <c r="G16" s="3" t="n"/>
      <c r="H16" s="3" t="n"/>
      <c r="I16" s="3" t="n"/>
      <c r="J16" s="4">
        <f>SUM(D16:H16)+I16</f>
        <v/>
      </c>
      <c r="K16" s="3" t="n"/>
      <c r="L16" s="3" t="n"/>
      <c r="M16" s="3" t="n"/>
      <c r="N16" s="4">
        <f>SUM(K16:M16)</f>
        <v/>
      </c>
      <c r="O16" s="3" t="n"/>
      <c r="P16" s="3">
        <f>00_PARAMETROS!B5</f>
        <v/>
      </c>
      <c r="Q16" s="4">
        <f>C16+J16-N16</f>
        <v/>
      </c>
      <c r="R16" s="3" t="n"/>
      <c r="S16" s="3" t="n"/>
    </row>
    <row r="17" ht="20" customHeight="1">
      <c r="A17" s="4">
        <f>DATE(2025,3,11)</f>
        <v/>
      </c>
      <c r="B17" s="4" t="n">
        <v>11</v>
      </c>
      <c r="C17" s="4">
        <f>Q16</f>
        <v/>
      </c>
      <c r="D17" s="3" t="n"/>
      <c r="E17" s="3" t="n"/>
      <c r="F17" s="3" t="n"/>
      <c r="G17" s="3" t="n"/>
      <c r="H17" s="3" t="n"/>
      <c r="I17" s="3" t="n"/>
      <c r="J17" s="4">
        <f>SUM(D17:H17)+I17</f>
        <v/>
      </c>
      <c r="K17" s="3" t="n"/>
      <c r="L17" s="3" t="n"/>
      <c r="M17" s="3" t="n"/>
      <c r="N17" s="4">
        <f>SUM(K17:M17)</f>
        <v/>
      </c>
      <c r="O17" s="3" t="n"/>
      <c r="P17" s="3">
        <f>00_PARAMETROS!B5</f>
        <v/>
      </c>
      <c r="Q17" s="4">
        <f>C17+J17-N17</f>
        <v/>
      </c>
      <c r="R17" s="3" t="n"/>
      <c r="S17" s="3" t="n"/>
    </row>
    <row r="18" ht="20" customHeight="1">
      <c r="A18" s="4">
        <f>DATE(2025,3,12)</f>
        <v/>
      </c>
      <c r="B18" s="4" t="n">
        <v>12</v>
      </c>
      <c r="C18" s="4">
        <f>Q17</f>
        <v/>
      </c>
      <c r="D18" s="3" t="n"/>
      <c r="E18" s="3" t="n"/>
      <c r="F18" s="3" t="n"/>
      <c r="G18" s="3" t="n"/>
      <c r="H18" s="3" t="n"/>
      <c r="I18" s="3" t="n"/>
      <c r="J18" s="4">
        <f>SUM(D18:H18)+I18</f>
        <v/>
      </c>
      <c r="K18" s="3" t="n"/>
      <c r="L18" s="3" t="n"/>
      <c r="M18" s="3" t="n"/>
      <c r="N18" s="4">
        <f>SUM(K18:M18)</f>
        <v/>
      </c>
      <c r="O18" s="3" t="n"/>
      <c r="P18" s="3">
        <f>00_PARAMETROS!B5</f>
        <v/>
      </c>
      <c r="Q18" s="4">
        <f>C18+J18-N18</f>
        <v/>
      </c>
      <c r="R18" s="3" t="n"/>
      <c r="S18" s="3" t="n"/>
    </row>
    <row r="19" ht="20" customHeight="1">
      <c r="A19" s="4">
        <f>DATE(2025,3,13)</f>
        <v/>
      </c>
      <c r="B19" s="4" t="n">
        <v>13</v>
      </c>
      <c r="C19" s="4">
        <f>Q18</f>
        <v/>
      </c>
      <c r="D19" s="3" t="n"/>
      <c r="E19" s="3" t="n"/>
      <c r="F19" s="3" t="n"/>
      <c r="G19" s="3" t="n"/>
      <c r="H19" s="3" t="n"/>
      <c r="I19" s="3" t="n"/>
      <c r="J19" s="4">
        <f>SUM(D19:H19)+I19</f>
        <v/>
      </c>
      <c r="K19" s="3" t="n"/>
      <c r="L19" s="3" t="n"/>
      <c r="M19" s="3" t="n"/>
      <c r="N19" s="4">
        <f>SUM(K19:M19)</f>
        <v/>
      </c>
      <c r="O19" s="3" t="n"/>
      <c r="P19" s="3">
        <f>00_PARAMETROS!B5</f>
        <v/>
      </c>
      <c r="Q19" s="4">
        <f>C19+J19-N19</f>
        <v/>
      </c>
      <c r="R19" s="3" t="n"/>
      <c r="S19" s="3" t="n"/>
    </row>
    <row r="20" ht="20" customHeight="1">
      <c r="A20" s="4">
        <f>DATE(2025,3,14)</f>
        <v/>
      </c>
      <c r="B20" s="4" t="n">
        <v>14</v>
      </c>
      <c r="C20" s="4">
        <f>Q19</f>
        <v/>
      </c>
      <c r="D20" s="3" t="n"/>
      <c r="E20" s="3" t="n"/>
      <c r="F20" s="3" t="n"/>
      <c r="G20" s="3" t="n"/>
      <c r="H20" s="3" t="n"/>
      <c r="I20" s="3" t="n"/>
      <c r="J20" s="4">
        <f>SUM(D20:H20)+I20</f>
        <v/>
      </c>
      <c r="K20" s="3" t="n"/>
      <c r="L20" s="3" t="n"/>
      <c r="M20" s="3" t="n"/>
      <c r="N20" s="4">
        <f>SUM(K20:M20)</f>
        <v/>
      </c>
      <c r="O20" s="3" t="n"/>
      <c r="P20" s="3">
        <f>00_PARAMETROS!B5</f>
        <v/>
      </c>
      <c r="Q20" s="4">
        <f>C20+J20-N20</f>
        <v/>
      </c>
      <c r="R20" s="3" t="n"/>
      <c r="S20" s="3" t="n"/>
    </row>
    <row r="21" ht="20" customHeight="1">
      <c r="A21" s="4">
        <f>DATE(2025,3,15)</f>
        <v/>
      </c>
      <c r="B21" s="4" t="n">
        <v>15</v>
      </c>
      <c r="C21" s="4">
        <f>Q20</f>
        <v/>
      </c>
      <c r="D21" s="3" t="n"/>
      <c r="E21" s="3" t="n"/>
      <c r="F21" s="3" t="n"/>
      <c r="G21" s="3" t="n"/>
      <c r="H21" s="3" t="n"/>
      <c r="I21" s="3" t="n"/>
      <c r="J21" s="4">
        <f>SUM(D21:H21)+I21</f>
        <v/>
      </c>
      <c r="K21" s="3" t="n"/>
      <c r="L21" s="3" t="n"/>
      <c r="M21" s="3" t="n"/>
      <c r="N21" s="4">
        <f>SUM(K21:M21)</f>
        <v/>
      </c>
      <c r="O21" s="3" t="n"/>
      <c r="P21" s="3">
        <f>00_PARAMETROS!B5</f>
        <v/>
      </c>
      <c r="Q21" s="4">
        <f>C21+J21-N21</f>
        <v/>
      </c>
      <c r="R21" s="3" t="n"/>
      <c r="S21" s="3" t="n"/>
    </row>
    <row r="22" ht="20" customHeight="1">
      <c r="A22" s="4">
        <f>DATE(2025,3,16)</f>
        <v/>
      </c>
      <c r="B22" s="4" t="n">
        <v>16</v>
      </c>
      <c r="C22" s="4">
        <f>Q21</f>
        <v/>
      </c>
      <c r="D22" s="3" t="n"/>
      <c r="E22" s="3" t="n"/>
      <c r="F22" s="3" t="n"/>
      <c r="G22" s="3" t="n"/>
      <c r="H22" s="3" t="n"/>
      <c r="I22" s="3" t="n"/>
      <c r="J22" s="4">
        <f>SUM(D22:H22)+I22</f>
        <v/>
      </c>
      <c r="K22" s="3" t="n"/>
      <c r="L22" s="3" t="n"/>
      <c r="M22" s="3" t="n"/>
      <c r="N22" s="4">
        <f>SUM(K22:M22)</f>
        <v/>
      </c>
      <c r="O22" s="3" t="n"/>
      <c r="P22" s="3">
        <f>00_PARAMETROS!B5</f>
        <v/>
      </c>
      <c r="Q22" s="4">
        <f>C22+J22-N22</f>
        <v/>
      </c>
      <c r="R22" s="3" t="n"/>
      <c r="S22" s="3" t="n"/>
    </row>
    <row r="23" ht="20" customHeight="1">
      <c r="A23" s="4">
        <f>DATE(2025,3,17)</f>
        <v/>
      </c>
      <c r="B23" s="4" t="n">
        <v>17</v>
      </c>
      <c r="C23" s="4">
        <f>Q22</f>
        <v/>
      </c>
      <c r="D23" s="3" t="n"/>
      <c r="E23" s="3" t="n"/>
      <c r="F23" s="3" t="n"/>
      <c r="G23" s="3" t="n"/>
      <c r="H23" s="3" t="n"/>
      <c r="I23" s="3" t="n"/>
      <c r="J23" s="4">
        <f>SUM(D23:H23)+I23</f>
        <v/>
      </c>
      <c r="K23" s="3" t="n"/>
      <c r="L23" s="3" t="n"/>
      <c r="M23" s="3" t="n"/>
      <c r="N23" s="4">
        <f>SUM(K23:M23)</f>
        <v/>
      </c>
      <c r="O23" s="3" t="n"/>
      <c r="P23" s="3">
        <f>00_PARAMETROS!B5</f>
        <v/>
      </c>
      <c r="Q23" s="4">
        <f>C23+J23-N23</f>
        <v/>
      </c>
      <c r="R23" s="3" t="n"/>
      <c r="S23" s="3" t="n"/>
    </row>
    <row r="24" ht="20" customHeight="1">
      <c r="A24" s="4">
        <f>DATE(2025,3,18)</f>
        <v/>
      </c>
      <c r="B24" s="4" t="n">
        <v>18</v>
      </c>
      <c r="C24" s="4">
        <f>Q23</f>
        <v/>
      </c>
      <c r="D24" s="3" t="n"/>
      <c r="E24" s="3" t="n"/>
      <c r="F24" s="3" t="n"/>
      <c r="G24" s="3" t="n"/>
      <c r="H24" s="3" t="n"/>
      <c r="I24" s="3" t="n"/>
      <c r="J24" s="4">
        <f>SUM(D24:H24)+I24</f>
        <v/>
      </c>
      <c r="K24" s="3" t="n"/>
      <c r="L24" s="3" t="n"/>
      <c r="M24" s="3" t="n"/>
      <c r="N24" s="4">
        <f>SUM(K24:M24)</f>
        <v/>
      </c>
      <c r="O24" s="3" t="n"/>
      <c r="P24" s="3">
        <f>00_PARAMETROS!B5</f>
        <v/>
      </c>
      <c r="Q24" s="4">
        <f>C24+J24-N24</f>
        <v/>
      </c>
      <c r="R24" s="3" t="n"/>
      <c r="S24" s="3" t="n"/>
    </row>
    <row r="25" ht="20" customHeight="1">
      <c r="A25" s="4">
        <f>DATE(2025,3,19)</f>
        <v/>
      </c>
      <c r="B25" s="4" t="n">
        <v>19</v>
      </c>
      <c r="C25" s="4">
        <f>Q24</f>
        <v/>
      </c>
      <c r="D25" s="3" t="n"/>
      <c r="E25" s="3" t="n"/>
      <c r="F25" s="3" t="n"/>
      <c r="G25" s="3" t="n"/>
      <c r="H25" s="3" t="n"/>
      <c r="I25" s="3" t="n"/>
      <c r="J25" s="4">
        <f>SUM(D25:H25)+I25</f>
        <v/>
      </c>
      <c r="K25" s="3" t="n"/>
      <c r="L25" s="3" t="n"/>
      <c r="M25" s="3" t="n"/>
      <c r="N25" s="4">
        <f>SUM(K25:M25)</f>
        <v/>
      </c>
      <c r="O25" s="3" t="n"/>
      <c r="P25" s="3">
        <f>00_PARAMETROS!B5</f>
        <v/>
      </c>
      <c r="Q25" s="4">
        <f>C25+J25-N25</f>
        <v/>
      </c>
      <c r="R25" s="3" t="n"/>
      <c r="S25" s="3" t="n"/>
    </row>
    <row r="26" ht="20" customHeight="1">
      <c r="A26" s="4">
        <f>DATE(2025,3,20)</f>
        <v/>
      </c>
      <c r="B26" s="4" t="n">
        <v>20</v>
      </c>
      <c r="C26" s="4">
        <f>Q25</f>
        <v/>
      </c>
      <c r="D26" s="3" t="n"/>
      <c r="E26" s="3" t="n"/>
      <c r="F26" s="3" t="n"/>
      <c r="G26" s="3" t="n"/>
      <c r="H26" s="3" t="n"/>
      <c r="I26" s="3" t="n"/>
      <c r="J26" s="4">
        <f>SUM(D26:H26)+I26</f>
        <v/>
      </c>
      <c r="K26" s="3" t="n"/>
      <c r="L26" s="3" t="n"/>
      <c r="M26" s="3" t="n"/>
      <c r="N26" s="4">
        <f>SUM(K26:M26)</f>
        <v/>
      </c>
      <c r="O26" s="3" t="n"/>
      <c r="P26" s="3">
        <f>00_PARAMETROS!B5</f>
        <v/>
      </c>
      <c r="Q26" s="4">
        <f>C26+J26-N26</f>
        <v/>
      </c>
      <c r="R26" s="3" t="n"/>
      <c r="S26" s="3" t="n"/>
    </row>
    <row r="27" ht="20" customHeight="1">
      <c r="A27" s="4">
        <f>DATE(2025,3,21)</f>
        <v/>
      </c>
      <c r="B27" s="4" t="n">
        <v>21</v>
      </c>
      <c r="C27" s="4">
        <f>Q26</f>
        <v/>
      </c>
      <c r="D27" s="3" t="n"/>
      <c r="E27" s="3" t="n"/>
      <c r="F27" s="3" t="n"/>
      <c r="G27" s="3" t="n"/>
      <c r="H27" s="3" t="n"/>
      <c r="I27" s="3" t="n"/>
      <c r="J27" s="4">
        <f>SUM(D27:H27)+I27</f>
        <v/>
      </c>
      <c r="K27" s="3" t="n"/>
      <c r="L27" s="3" t="n"/>
      <c r="M27" s="3" t="n"/>
      <c r="N27" s="4">
        <f>SUM(K27:M27)</f>
        <v/>
      </c>
      <c r="O27" s="3" t="n"/>
      <c r="P27" s="3">
        <f>00_PARAMETROS!B5</f>
        <v/>
      </c>
      <c r="Q27" s="4">
        <f>C27+J27-N27</f>
        <v/>
      </c>
      <c r="R27" s="3" t="n"/>
      <c r="S27" s="3" t="n"/>
    </row>
    <row r="28" ht="20" customHeight="1">
      <c r="A28" s="4">
        <f>DATE(2025,3,22)</f>
        <v/>
      </c>
      <c r="B28" s="4" t="n">
        <v>22</v>
      </c>
      <c r="C28" s="4">
        <f>Q27</f>
        <v/>
      </c>
      <c r="D28" s="3" t="n"/>
      <c r="E28" s="3" t="n"/>
      <c r="F28" s="3" t="n"/>
      <c r="G28" s="3" t="n"/>
      <c r="H28" s="3" t="n"/>
      <c r="I28" s="3" t="n"/>
      <c r="J28" s="4">
        <f>SUM(D28:H28)+I28</f>
        <v/>
      </c>
      <c r="K28" s="3" t="n"/>
      <c r="L28" s="3" t="n"/>
      <c r="M28" s="3" t="n"/>
      <c r="N28" s="4">
        <f>SUM(K28:M28)</f>
        <v/>
      </c>
      <c r="O28" s="3" t="n"/>
      <c r="P28" s="3">
        <f>00_PARAMETROS!B5</f>
        <v/>
      </c>
      <c r="Q28" s="4">
        <f>C28+J28-N28</f>
        <v/>
      </c>
      <c r="R28" s="3" t="n"/>
      <c r="S28" s="3" t="n"/>
    </row>
    <row r="29" ht="20" customHeight="1">
      <c r="A29" s="4">
        <f>DATE(2025,3,23)</f>
        <v/>
      </c>
      <c r="B29" s="4" t="n">
        <v>23</v>
      </c>
      <c r="C29" s="4">
        <f>Q28</f>
        <v/>
      </c>
      <c r="D29" s="3" t="n"/>
      <c r="E29" s="3" t="n"/>
      <c r="F29" s="3" t="n"/>
      <c r="G29" s="3" t="n"/>
      <c r="H29" s="3" t="n"/>
      <c r="I29" s="3" t="n"/>
      <c r="J29" s="4">
        <f>SUM(D29:H29)+I29</f>
        <v/>
      </c>
      <c r="K29" s="3" t="n"/>
      <c r="L29" s="3" t="n"/>
      <c r="M29" s="3" t="n"/>
      <c r="N29" s="4">
        <f>SUM(K29:M29)</f>
        <v/>
      </c>
      <c r="O29" s="3" t="n"/>
      <c r="P29" s="3">
        <f>00_PARAMETROS!B5</f>
        <v/>
      </c>
      <c r="Q29" s="4">
        <f>C29+J29-N29</f>
        <v/>
      </c>
      <c r="R29" s="3" t="n"/>
      <c r="S29" s="3" t="n"/>
    </row>
    <row r="30" ht="20" customHeight="1">
      <c r="A30" s="4">
        <f>DATE(2025,3,24)</f>
        <v/>
      </c>
      <c r="B30" s="4" t="n">
        <v>24</v>
      </c>
      <c r="C30" s="4">
        <f>Q29</f>
        <v/>
      </c>
      <c r="D30" s="3" t="n"/>
      <c r="E30" s="3" t="n"/>
      <c r="F30" s="3" t="n"/>
      <c r="G30" s="3" t="n"/>
      <c r="H30" s="3" t="n"/>
      <c r="I30" s="3" t="n"/>
      <c r="J30" s="4">
        <f>SUM(D30:H30)+I30</f>
        <v/>
      </c>
      <c r="K30" s="3" t="n"/>
      <c r="L30" s="3" t="n"/>
      <c r="M30" s="3" t="n"/>
      <c r="N30" s="4">
        <f>SUM(K30:M30)</f>
        <v/>
      </c>
      <c r="O30" s="3" t="n"/>
      <c r="P30" s="3">
        <f>00_PARAMETROS!B5</f>
        <v/>
      </c>
      <c r="Q30" s="4">
        <f>C30+J30-N30</f>
        <v/>
      </c>
      <c r="R30" s="3" t="n"/>
      <c r="S30" s="3" t="n"/>
    </row>
    <row r="31" ht="20" customHeight="1">
      <c r="A31" s="4">
        <f>DATE(2025,3,25)</f>
        <v/>
      </c>
      <c r="B31" s="4" t="n">
        <v>25</v>
      </c>
      <c r="C31" s="4">
        <f>Q30</f>
        <v/>
      </c>
      <c r="D31" s="3" t="n"/>
      <c r="E31" s="3" t="n"/>
      <c r="F31" s="3" t="n"/>
      <c r="G31" s="3" t="n"/>
      <c r="H31" s="3" t="n"/>
      <c r="I31" s="3" t="n"/>
      <c r="J31" s="4">
        <f>SUM(D31:H31)+I31</f>
        <v/>
      </c>
      <c r="K31" s="3" t="n"/>
      <c r="L31" s="3" t="n"/>
      <c r="M31" s="3" t="n"/>
      <c r="N31" s="4">
        <f>SUM(K31:M31)</f>
        <v/>
      </c>
      <c r="O31" s="3" t="n"/>
      <c r="P31" s="3">
        <f>00_PARAMETROS!B5</f>
        <v/>
      </c>
      <c r="Q31" s="4">
        <f>C31+J31-N31</f>
        <v/>
      </c>
      <c r="R31" s="3" t="n"/>
      <c r="S31" s="3" t="n"/>
    </row>
    <row r="32" ht="20" customHeight="1">
      <c r="A32" s="4">
        <f>DATE(2025,3,26)</f>
        <v/>
      </c>
      <c r="B32" s="4" t="n">
        <v>26</v>
      </c>
      <c r="C32" s="4">
        <f>Q31</f>
        <v/>
      </c>
      <c r="D32" s="3" t="n"/>
      <c r="E32" s="3" t="n"/>
      <c r="F32" s="3" t="n"/>
      <c r="G32" s="3" t="n"/>
      <c r="H32" s="3" t="n"/>
      <c r="I32" s="3" t="n"/>
      <c r="J32" s="4">
        <f>SUM(D32:H32)+I32</f>
        <v/>
      </c>
      <c r="K32" s="3" t="n"/>
      <c r="L32" s="3" t="n"/>
      <c r="M32" s="3" t="n"/>
      <c r="N32" s="4">
        <f>SUM(K32:M32)</f>
        <v/>
      </c>
      <c r="O32" s="3" t="n"/>
      <c r="P32" s="3">
        <f>00_PARAMETROS!B5</f>
        <v/>
      </c>
      <c r="Q32" s="4">
        <f>C32+J32-N32</f>
        <v/>
      </c>
      <c r="R32" s="3" t="n"/>
      <c r="S32" s="3" t="n"/>
    </row>
    <row r="33" ht="20" customHeight="1">
      <c r="A33" s="4">
        <f>DATE(2025,3,27)</f>
        <v/>
      </c>
      <c r="B33" s="4" t="n">
        <v>27</v>
      </c>
      <c r="C33" s="4">
        <f>Q32</f>
        <v/>
      </c>
      <c r="D33" s="3" t="n"/>
      <c r="E33" s="3" t="n"/>
      <c r="F33" s="3" t="n"/>
      <c r="G33" s="3" t="n"/>
      <c r="H33" s="3" t="n"/>
      <c r="I33" s="3" t="n"/>
      <c r="J33" s="4">
        <f>SUM(D33:H33)+I33</f>
        <v/>
      </c>
      <c r="K33" s="3" t="n"/>
      <c r="L33" s="3" t="n"/>
      <c r="M33" s="3" t="n"/>
      <c r="N33" s="4">
        <f>SUM(K33:M33)</f>
        <v/>
      </c>
      <c r="O33" s="3" t="n"/>
      <c r="P33" s="3">
        <f>00_PARAMETROS!B5</f>
        <v/>
      </c>
      <c r="Q33" s="4">
        <f>C33+J33-N33</f>
        <v/>
      </c>
      <c r="R33" s="3" t="n"/>
      <c r="S33" s="3" t="n"/>
    </row>
    <row r="34" ht="20" customHeight="1">
      <c r="A34" s="4">
        <f>DATE(2025,3,28)</f>
        <v/>
      </c>
      <c r="B34" s="4" t="n">
        <v>28</v>
      </c>
      <c r="C34" s="4">
        <f>Q33</f>
        <v/>
      </c>
      <c r="D34" s="3" t="n"/>
      <c r="E34" s="3" t="n"/>
      <c r="F34" s="3" t="n"/>
      <c r="G34" s="3" t="n"/>
      <c r="H34" s="3" t="n"/>
      <c r="I34" s="3" t="n"/>
      <c r="J34" s="4">
        <f>SUM(D34:H34)+I34</f>
        <v/>
      </c>
      <c r="K34" s="3" t="n"/>
      <c r="L34" s="3" t="n"/>
      <c r="M34" s="3" t="n"/>
      <c r="N34" s="4">
        <f>SUM(K34:M34)</f>
        <v/>
      </c>
      <c r="O34" s="3" t="n"/>
      <c r="P34" s="3">
        <f>00_PARAMETROS!B5</f>
        <v/>
      </c>
      <c r="Q34" s="4">
        <f>C34+J34-N34</f>
        <v/>
      </c>
      <c r="R34" s="3" t="n"/>
      <c r="S34" s="3" t="n"/>
    </row>
    <row r="35" ht="20" customHeight="1">
      <c r="A35" s="4">
        <f>DATE(2025,3,29)</f>
        <v/>
      </c>
      <c r="B35" s="4" t="n">
        <v>29</v>
      </c>
      <c r="C35" s="4">
        <f>Q34</f>
        <v/>
      </c>
      <c r="D35" s="3" t="n"/>
      <c r="E35" s="3" t="n"/>
      <c r="F35" s="3" t="n"/>
      <c r="G35" s="3" t="n"/>
      <c r="H35" s="3" t="n"/>
      <c r="I35" s="3" t="n"/>
      <c r="J35" s="4">
        <f>SUM(D35:H35)+I35</f>
        <v/>
      </c>
      <c r="K35" s="3" t="n"/>
      <c r="L35" s="3" t="n"/>
      <c r="M35" s="3" t="n"/>
      <c r="N35" s="4">
        <f>SUM(K35:M35)</f>
        <v/>
      </c>
      <c r="O35" s="3" t="n"/>
      <c r="P35" s="3">
        <f>00_PARAMETROS!B5</f>
        <v/>
      </c>
      <c r="Q35" s="4">
        <f>C35+J35-N35</f>
        <v/>
      </c>
      <c r="R35" s="3" t="n"/>
      <c r="S35" s="3" t="n"/>
    </row>
    <row r="36" ht="20" customHeight="1">
      <c r="A36" s="4">
        <f>DATE(2025,3,30)</f>
        <v/>
      </c>
      <c r="B36" s="4" t="n">
        <v>30</v>
      </c>
      <c r="C36" s="4">
        <f>Q35</f>
        <v/>
      </c>
      <c r="D36" s="3" t="n"/>
      <c r="E36" s="3" t="n"/>
      <c r="F36" s="3" t="n"/>
      <c r="G36" s="3" t="n"/>
      <c r="H36" s="3" t="n"/>
      <c r="I36" s="3" t="n"/>
      <c r="J36" s="4">
        <f>SUM(D36:H36)+I36</f>
        <v/>
      </c>
      <c r="K36" s="3" t="n"/>
      <c r="L36" s="3" t="n"/>
      <c r="M36" s="3" t="n"/>
      <c r="N36" s="4">
        <f>SUM(K36:M36)</f>
        <v/>
      </c>
      <c r="O36" s="3" t="n"/>
      <c r="P36" s="3">
        <f>00_PARAMETROS!B5</f>
        <v/>
      </c>
      <c r="Q36" s="4">
        <f>C36+J36-N36</f>
        <v/>
      </c>
      <c r="R36" s="3" t="n"/>
      <c r="S36" s="3" t="n"/>
    </row>
    <row r="37" ht="20" customHeight="1">
      <c r="A37" s="4">
        <f>DATE(2025,3,31)</f>
        <v/>
      </c>
      <c r="B37" s="4" t="n">
        <v>31</v>
      </c>
      <c r="C37" s="4">
        <f>Q36</f>
        <v/>
      </c>
      <c r="D37" s="3" t="n"/>
      <c r="E37" s="3" t="n"/>
      <c r="F37" s="3" t="n"/>
      <c r="G37" s="3" t="n"/>
      <c r="H37" s="3" t="n"/>
      <c r="I37" s="3" t="n"/>
      <c r="J37" s="4">
        <f>SUM(D37:H37)+I37</f>
        <v/>
      </c>
      <c r="K37" s="3" t="n"/>
      <c r="L37" s="3" t="n"/>
      <c r="M37" s="3" t="n"/>
      <c r="N37" s="4">
        <f>SUM(K37:M37)</f>
        <v/>
      </c>
      <c r="O37" s="3" t="n"/>
      <c r="P37" s="3">
        <f>00_PARAMETROS!B5</f>
        <v/>
      </c>
      <c r="Q37" s="4">
        <f>C37+J37-N37</f>
        <v/>
      </c>
      <c r="R37" s="3" t="n"/>
      <c r="S37" s="3" t="n"/>
    </row>
    <row r="38" ht="20" customHeight="1">
      <c r="A38" s="2" t="inlineStr">
        <is>
          <t>TOTAL</t>
        </is>
      </c>
      <c r="B38" s="7" t="n"/>
      <c r="C38" s="7" t="n"/>
      <c r="D38" s="8">
        <f>SUM(D7:D37)</f>
        <v/>
      </c>
      <c r="E38" s="8">
        <f>SUM(E7:E37)</f>
        <v/>
      </c>
      <c r="F38" s="8">
        <f>SUM(F7:F37)</f>
        <v/>
      </c>
      <c r="G38" s="8">
        <f>SUM(G7:G37)</f>
        <v/>
      </c>
      <c r="H38" s="8">
        <f>SUM(H7:H37)</f>
        <v/>
      </c>
      <c r="I38" s="8">
        <f>SUM(I7:I37)</f>
        <v/>
      </c>
      <c r="J38" s="8">
        <f>SUM(J7:J37)</f>
        <v/>
      </c>
      <c r="K38" s="8">
        <f>SUM(K7:K37)</f>
        <v/>
      </c>
      <c r="L38" s="8">
        <f>SUM(L7:L37)</f>
        <v/>
      </c>
      <c r="M38" s="8">
        <f>SUM(M7:M37)</f>
        <v/>
      </c>
      <c r="N38" s="8">
        <f>SUM(N7:N37)</f>
        <v/>
      </c>
      <c r="O38" s="8">
        <f>SUM(O7:O37)</f>
        <v/>
      </c>
      <c r="P38" s="8">
        <f>SUM(P7:P37)</f>
        <v/>
      </c>
      <c r="Q38" s="8">
        <f>SUM(Q7:Q37)</f>
        <v/>
      </c>
      <c r="R38" s="8">
        <f>SUM(R7:R37)</f>
        <v/>
      </c>
      <c r="S38" s="8">
        <f>SUM(S7:S37)</f>
        <v/>
      </c>
    </row>
    <row r="39" ht="20" customHeight="1"/>
    <row r="40" ht="20" customHeight="1"/>
    <row r="41" ht="20" customHeight="1">
      <c r="A41" s="2" t="inlineStr">
        <is>
          <t>RESUMEN DEL MES</t>
        </is>
      </c>
      <c r="B41" s="9" t="n"/>
      <c r="C41" s="9" t="n"/>
      <c r="D41" s="10" t="n"/>
    </row>
    <row r="42" ht="20" customHeight="1">
      <c r="A42" s="11" t="inlineStr">
        <is>
          <t>Ingresos</t>
        </is>
      </c>
      <c r="B42" s="4">
        <f>J38</f>
        <v/>
      </c>
    </row>
    <row r="43" ht="20" customHeight="1">
      <c r="A43" s="11" t="inlineStr">
        <is>
          <t>Altas al hogar / otro hosp.</t>
        </is>
      </c>
      <c r="B43" s="4">
        <f>K38</f>
        <v/>
      </c>
    </row>
    <row r="44" ht="20" customHeight="1">
      <c r="A44" s="11" t="inlineStr">
        <is>
          <t>Traslados a otro servicio</t>
        </is>
      </c>
      <c r="B44" s="4">
        <f>L38</f>
        <v/>
      </c>
    </row>
    <row r="45" ht="20" customHeight="1">
      <c r="A45" s="11" t="inlineStr">
        <is>
          <t>Fallecidos</t>
        </is>
      </c>
      <c r="B45" s="4">
        <f>M38</f>
        <v/>
      </c>
    </row>
    <row r="46" ht="20" customHeight="1">
      <c r="A46" s="11" t="inlineStr">
        <is>
          <t>Total egresos</t>
        </is>
      </c>
      <c r="B46" s="4">
        <f>N38</f>
        <v/>
      </c>
    </row>
    <row r="47" ht="20" customHeight="1">
      <c r="A47" s="11" t="inlineStr">
        <is>
          <t>Pacientes atendidos del mes</t>
        </is>
      </c>
      <c r="B47" s="4">
        <f>C7+J38</f>
        <v/>
      </c>
    </row>
    <row r="48" ht="20" customHeight="1">
      <c r="A48" s="11" t="inlineStr">
        <is>
          <t>Dias personas atendidas</t>
        </is>
      </c>
      <c r="B48" s="4">
        <f>R38</f>
        <v/>
      </c>
    </row>
    <row r="49" ht="20" customHeight="1">
      <c r="A49" s="11" t="inlineStr">
        <is>
          <t>Indice ocupacional %</t>
        </is>
      </c>
      <c r="B49" s="12">
        <f>IFERROR(Q38/P38,"")</f>
        <v/>
      </c>
    </row>
    <row r="50" ht="20" customHeight="1">
      <c r="A50" s="11" t="inlineStr">
        <is>
          <t>Promedio dia de estada</t>
        </is>
      </c>
      <c r="B50" s="13">
        <f>IFERROR(R38/N38,"")</f>
        <v/>
      </c>
    </row>
  </sheetData>
  <sheetProtection selectLockedCells="1" selectUnlockedCells="1" sheet="1" objects="0" insertRows="1" insertHyperlinks="1" autoFilter="1" scenarios="0" formatColumns="1" deleteColumns="1" insertColumns="1" pivotTables="1" deleteRows="1" formatCells="1" formatRows="1" sort="1" password="C752"/>
  <mergeCells count="3">
    <mergeCell ref="U1:W1"/>
    <mergeCell ref="A41:D41"/>
    <mergeCell ref="A1:S1"/>
  </mergeCells>
  <dataValidations count="1">
    <dataValidation sqref="D7 D8 D9 D10 D11 D12 D13 D14 D15 D16 D17 D18 D19 D20 D21 D22 D23 D24 D25 D26 D27 D28 D29 D30 D31 D32 D33 D34 D35 D36 D37 E7 E8 E9 E10 E11 E12 E13 E14 E15 E16 E17 E18 E19 E20 E21 E22 E23 E24 E25 E26 E27 E28 E29 E30 E31 E32 E33 E34 E35 E36 E37 F7 F8 F9 F10 F11 F12 F13 F14 F15 F16 F17 F18 F19 F20 F21 F22 F23 F24 F25 F26 F27 F28 F29 F30 F31 F32 F33 F34 F35 F36 F37 G7 G8 G9 G10 G11 G12 G13 G14 G15 G16 G17 G18 G19 G20 G21 G22 G23 G24 G25 G26 G27 G28 G29 G30 G31 G32 G33 G34 G35 G36 G37 H7 H8 H9 H10 H11 H12 H13 H14 H15 H16 H17 H18 H19 H20 H21 H22 H23 H24 H25 H26 H27 H28 H29 H30 H31 H32 H33 H34 H35 H36 H37 I7 I8 I9 I10 I11 I12 I13 I14 I15 I16 I17 I18 I19 I20 I21 I22 I23 I24 I25 I26 I27 I28 I29 I30 I31 I32 I33 I34 I35 I36 I37 K7 K8 K9 K10 K11 K12 K13 K14 K15 K16 K17 K18 K19 K20 K21 K22 K23 K24 K25 K26 K27 K28 K29 K30 K31 K32 K33 K34 K35 K36 K37 L7 L8 L9 L10 L11 L12 L13 L14 L15 L16 L17 L18 L19 L20 L21 L22 L23 L24 L25 L26 L27 L28 L29 L30 L31 L32 L33 L34 L35 L36 L37 M7 M8 M9 M10 M11 M12 M13 M14 M15 M16 M17 M18 M19 M20 M21 M22 M23 M24 M25 M26 M27 M28 M29 M30 M31 M32 M33 M34 M35 M36 M37 O7 O8 O9 O10 O11 O12 O13 O14 O15 O16 O17 O18 O19 O20 O21 O22 O23 O24 O25 O26 O27 O28 O29 O30 O31 O32 O33 O34 O35 O36 O37 P7 P8 P9 P10 P11 P12 P13 P14 P15 P16 P17 P18 P19 P20 P21 P22 P23 P24 P25 P26 P27 P28 P29 P30 P31 P32 P33 P34 P35 P36 P37 R7 R8 R9 R10 R11 R12 R13 R14 R15 R16 R17 R18 R19 R20 R21 R22 R23 R24 R25 R26 R27 R28 R29 R30 R31 R32 R33 R34 R35 R36 R37 S7 S8 S9 S10 S11 S12 S13 S14 S15 S16 S17 S18 S19 S20 S21 S22 S23 S24 S25 S26 S27 S28 S29 S30 S31 S32 S33 S34 S35 S36 S37" showDropDown="0" showInputMessage="0" showErrorMessage="0" allowBlank="1" prompt="Ingresa un numero entero mayor o igual a 0." type="whole" operator="greaterThanOrEqual">
      <formula1>0</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W49"/>
  <sheetViews>
    <sheetView showGridLines="1" workbookViewId="0">
      <pane ySplit="6" topLeftCell="A7" activePane="bottomLeft" state="frozen"/>
      <selection pane="bottomLeft" activeCell="A1" sqref="A1"/>
    </sheetView>
  </sheetViews>
  <sheetFormatPr baseColWidth="8" defaultRowHeight="15"/>
  <cols>
    <col width="13" customWidth="1" min="1" max="1"/>
    <col width="7" customWidth="1" min="2" max="2"/>
    <col width="20" customWidth="1" min="3" max="3"/>
    <col width="13" customWidth="1" min="4" max="4"/>
    <col width="18" customWidth="1" min="5" max="5"/>
    <col width="15" customWidth="1" min="6" max="6"/>
    <col width="16" customWidth="1" min="7" max="7"/>
    <col width="10" customWidth="1" min="8" max="8"/>
    <col width="15" customWidth="1" min="9" max="9"/>
    <col width="13" customWidth="1" min="10" max="10"/>
    <col width="20" customWidth="1" min="11" max="11"/>
    <col width="22" customWidth="1" min="12" max="12"/>
    <col width="14" customWidth="1" min="13" max="13"/>
    <col width="13" customWidth="1" min="14" max="14"/>
    <col width="18" customWidth="1" min="15" max="15"/>
    <col width="18" customWidth="1" min="16" max="16"/>
    <col width="17" customWidth="1" min="17" max="17"/>
    <col width="16" customWidth="1" min="18" max="18"/>
    <col width="16" customWidth="1" min="19" max="19"/>
    <col width="34" customWidth="1" min="21" max="21"/>
    <col width="12" customWidth="1" min="22" max="22"/>
  </cols>
  <sheetData>
    <row r="1" ht="20" customHeight="1">
      <c r="A1" s="1" t="inlineStr">
        <is>
          <t>RESUMEN MENSUAL HODOM</t>
        </is>
      </c>
      <c r="U1" s="1" t="inlineStr">
        <is>
          <t>CONTROL</t>
        </is>
      </c>
    </row>
    <row r="2" ht="20" customHeight="1">
      <c r="A2" s="2" t="inlineStr">
        <is>
          <t>Servicio</t>
        </is>
      </c>
      <c r="B2" s="4">
        <f>00_PARAMETROS!B3</f>
        <v/>
      </c>
      <c r="C2" s="2" t="inlineStr">
        <is>
          <t>Codigo</t>
        </is>
      </c>
      <c r="D2" s="4">
        <f>00_PARAMETROS!B4</f>
        <v/>
      </c>
      <c r="E2" s="2" t="inlineStr">
        <is>
          <t>Mes</t>
        </is>
      </c>
      <c r="F2" s="3" t="inlineStr">
        <is>
          <t>ABRIL</t>
        </is>
      </c>
      <c r="G2" s="2" t="inlineStr">
        <is>
          <t>Ano</t>
        </is>
      </c>
      <c r="H2" s="3" t="n">
        <v>2025</v>
      </c>
    </row>
    <row r="3" ht="20" customHeight="1">
      <c r="A3" s="2" t="inlineStr">
        <is>
          <t>Camas base</t>
        </is>
      </c>
      <c r="B3" s="4">
        <f>00_PARAMETROS!B5</f>
        <v/>
      </c>
      <c r="C3" s="2" t="inlineStr">
        <is>
          <t>Promedio camas</t>
        </is>
      </c>
      <c r="D3" s="4">
        <f>AVERAGE(P7:P36)</f>
        <v/>
      </c>
      <c r="E3" s="2" t="inlineStr">
        <is>
          <t>Dias del mes</t>
        </is>
      </c>
      <c r="F3" s="3" t="n">
        <v>30</v>
      </c>
      <c r="U3" s="5" t="inlineStr">
        <is>
          <t>Dias con ocupacion negativa</t>
        </is>
      </c>
      <c r="V3" s="4">
        <f>COUNTIF(Q7:Q36,"&lt;0")</f>
        <v/>
      </c>
    </row>
    <row r="4" ht="20" customHeight="1">
      <c r="U4" s="5" t="inlineStr">
        <is>
          <t>Dias sin camas disponibles</t>
        </is>
      </c>
      <c r="V4" s="4">
        <f>COUNTBLANK(P7:P36)</f>
        <v/>
      </c>
    </row>
    <row r="5" ht="20" customHeight="1">
      <c r="U5" s="5" t="inlineStr">
        <is>
          <t>Primer dia sin existencia inicial</t>
        </is>
      </c>
      <c r="V5" s="4">
        <f>IF(C7="",1,0)</f>
        <v/>
      </c>
    </row>
    <row r="6" ht="36" customHeight="1">
      <c r="A6" s="6" t="inlineStr">
        <is>
          <t>Fecha</t>
        </is>
      </c>
      <c r="B6" s="6" t="inlineStr">
        <is>
          <t>Dia</t>
        </is>
      </c>
      <c r="C6" s="6" t="inlineStr">
        <is>
          <t>Existencia dia anterior</t>
        </is>
      </c>
      <c r="D6" s="6" t="inlineStr">
        <is>
          <t>Ing. urgencia</t>
        </is>
      </c>
      <c r="E6" s="6" t="inlineStr">
        <is>
          <t>Ing. hospitalizacion</t>
        </is>
      </c>
      <c r="F6" s="6" t="inlineStr">
        <is>
          <t>Ing. ambulatorio</t>
        </is>
      </c>
      <c r="G6" s="6" t="inlineStr">
        <is>
          <t>Ing. ley urgencia</t>
        </is>
      </c>
      <c r="H6" s="6" t="inlineStr">
        <is>
          <t>Ing. UGCC</t>
        </is>
      </c>
      <c r="I6" s="6" t="inlineStr">
        <is>
          <t>Ing. por traslado</t>
        </is>
      </c>
      <c r="J6" s="6" t="inlineStr">
        <is>
          <t>Total ingresos</t>
        </is>
      </c>
      <c r="K6" s="6" t="inlineStr">
        <is>
          <t>Egr. alta hogar / otro hosp.</t>
        </is>
      </c>
      <c r="L6" s="6" t="inlineStr">
        <is>
          <t>Egr. traslado a otro servicio</t>
        </is>
      </c>
      <c r="M6" s="6" t="inlineStr">
        <is>
          <t>Egr. fallecidos</t>
        </is>
      </c>
      <c r="N6" s="6" t="inlineStr">
        <is>
          <t>Total egresos</t>
        </is>
      </c>
      <c r="O6" s="6" t="inlineStr">
        <is>
          <t>Ingr.-egr. mismo dia</t>
        </is>
      </c>
      <c r="P6" s="6" t="inlineStr">
        <is>
          <t>Dias cama disponibles</t>
        </is>
      </c>
      <c r="Q6" s="6" t="inlineStr">
        <is>
          <t>Dias cama ocupadas</t>
        </is>
      </c>
      <c r="R6" s="6" t="inlineStr">
        <is>
          <t>Dias estada total</t>
        </is>
      </c>
      <c r="S6" s="6" t="inlineStr">
        <is>
          <t>Dias estada benef.</t>
        </is>
      </c>
      <c r="U6" s="5" t="inlineStr">
        <is>
          <t>Dias con total ingresos manualmente alterado</t>
        </is>
      </c>
      <c r="V6" s="4" t="inlineStr">
        <is>
          <t>0</t>
        </is>
      </c>
    </row>
    <row r="7" ht="20" customHeight="1">
      <c r="A7" s="4">
        <f>DATE(2025,4,1)</f>
        <v/>
      </c>
      <c r="B7" s="4" t="n">
        <v>1</v>
      </c>
      <c r="C7" s="3" t="n"/>
      <c r="D7" s="3" t="n"/>
      <c r="E7" s="3" t="n"/>
      <c r="F7" s="3" t="n"/>
      <c r="G7" s="3" t="n"/>
      <c r="H7" s="3" t="n"/>
      <c r="I7" s="3" t="n"/>
      <c r="J7" s="4">
        <f>SUM(D7:H7)+I7</f>
        <v/>
      </c>
      <c r="K7" s="3" t="n"/>
      <c r="L7" s="3" t="n"/>
      <c r="M7" s="3" t="n"/>
      <c r="N7" s="4">
        <f>SUM(K7:M7)</f>
        <v/>
      </c>
      <c r="O7" s="3" t="n"/>
      <c r="P7" s="3">
        <f>00_PARAMETROS!B5</f>
        <v/>
      </c>
      <c r="Q7" s="4">
        <f>C7+J7-N7</f>
        <v/>
      </c>
      <c r="R7" s="3" t="n"/>
      <c r="S7" s="3" t="n"/>
      <c r="U7" s="5" t="inlineStr">
        <is>
          <t>Dias con total egresos manualmente alterado</t>
        </is>
      </c>
      <c r="V7" s="4" t="inlineStr">
        <is>
          <t>0</t>
        </is>
      </c>
    </row>
    <row r="8" ht="20" customHeight="1">
      <c r="A8" s="4">
        <f>DATE(2025,4,2)</f>
        <v/>
      </c>
      <c r="B8" s="4" t="n">
        <v>2</v>
      </c>
      <c r="C8" s="4">
        <f>Q7</f>
        <v/>
      </c>
      <c r="D8" s="3" t="n"/>
      <c r="E8" s="3" t="n"/>
      <c r="F8" s="3" t="n"/>
      <c r="G8" s="3" t="n"/>
      <c r="H8" s="3" t="n"/>
      <c r="I8" s="3" t="n"/>
      <c r="J8" s="4">
        <f>SUM(D8:H8)+I8</f>
        <v/>
      </c>
      <c r="K8" s="3" t="n"/>
      <c r="L8" s="3" t="n"/>
      <c r="M8" s="3" t="n"/>
      <c r="N8" s="4">
        <f>SUM(K8:M8)</f>
        <v/>
      </c>
      <c r="O8" s="3" t="n"/>
      <c r="P8" s="3">
        <f>00_PARAMETROS!B5</f>
        <v/>
      </c>
      <c r="Q8" s="4">
        <f>C8+J8-N8</f>
        <v/>
      </c>
      <c r="R8" s="3" t="n"/>
      <c r="S8" s="3" t="n"/>
    </row>
    <row r="9" ht="20" customHeight="1">
      <c r="A9" s="4">
        <f>DATE(2025,4,3)</f>
        <v/>
      </c>
      <c r="B9" s="4" t="n">
        <v>3</v>
      </c>
      <c r="C9" s="4">
        <f>Q8</f>
        <v/>
      </c>
      <c r="D9" s="3" t="n"/>
      <c r="E9" s="3" t="n"/>
      <c r="F9" s="3" t="n"/>
      <c r="G9" s="3" t="n"/>
      <c r="H9" s="3" t="n"/>
      <c r="I9" s="3" t="n"/>
      <c r="J9" s="4">
        <f>SUM(D9:H9)+I9</f>
        <v/>
      </c>
      <c r="K9" s="3" t="n"/>
      <c r="L9" s="3" t="n"/>
      <c r="M9" s="3" t="n"/>
      <c r="N9" s="4">
        <f>SUM(K9:M9)</f>
        <v/>
      </c>
      <c r="O9" s="3" t="n"/>
      <c r="P9" s="3">
        <f>00_PARAMETROS!B5</f>
        <v/>
      </c>
      <c r="Q9" s="4">
        <f>C9+J9-N9</f>
        <v/>
      </c>
      <c r="R9" s="3" t="n"/>
      <c r="S9" s="3" t="n"/>
    </row>
    <row r="10" ht="20" customHeight="1">
      <c r="A10" s="4">
        <f>DATE(2025,4,4)</f>
        <v/>
      </c>
      <c r="B10" s="4" t="n">
        <v>4</v>
      </c>
      <c r="C10" s="4">
        <f>Q9</f>
        <v/>
      </c>
      <c r="D10" s="3" t="n"/>
      <c r="E10" s="3" t="n"/>
      <c r="F10" s="3" t="n"/>
      <c r="G10" s="3" t="n"/>
      <c r="H10" s="3" t="n"/>
      <c r="I10" s="3" t="n"/>
      <c r="J10" s="4">
        <f>SUM(D10:H10)+I10</f>
        <v/>
      </c>
      <c r="K10" s="3" t="n"/>
      <c r="L10" s="3" t="n"/>
      <c r="M10" s="3" t="n"/>
      <c r="N10" s="4">
        <f>SUM(K10:M10)</f>
        <v/>
      </c>
      <c r="O10" s="3" t="n"/>
      <c r="P10" s="3">
        <f>00_PARAMETROS!B5</f>
        <v/>
      </c>
      <c r="Q10" s="4">
        <f>C10+J10-N10</f>
        <v/>
      </c>
      <c r="R10" s="3" t="n"/>
      <c r="S10" s="3" t="n"/>
    </row>
    <row r="11" ht="20" customHeight="1">
      <c r="A11" s="4">
        <f>DATE(2025,4,5)</f>
        <v/>
      </c>
      <c r="B11" s="4" t="n">
        <v>5</v>
      </c>
      <c r="C11" s="4">
        <f>Q10</f>
        <v/>
      </c>
      <c r="D11" s="3" t="n"/>
      <c r="E11" s="3" t="n"/>
      <c r="F11" s="3" t="n"/>
      <c r="G11" s="3" t="n"/>
      <c r="H11" s="3" t="n"/>
      <c r="I11" s="3" t="n"/>
      <c r="J11" s="4">
        <f>SUM(D11:H11)+I11</f>
        <v/>
      </c>
      <c r="K11" s="3" t="n"/>
      <c r="L11" s="3" t="n"/>
      <c r="M11" s="3" t="n"/>
      <c r="N11" s="4">
        <f>SUM(K11:M11)</f>
        <v/>
      </c>
      <c r="O11" s="3" t="n"/>
      <c r="P11" s="3">
        <f>00_PARAMETROS!B5</f>
        <v/>
      </c>
      <c r="Q11" s="4">
        <f>C11+J11-N11</f>
        <v/>
      </c>
      <c r="R11" s="3" t="n"/>
      <c r="S11" s="3" t="n"/>
    </row>
    <row r="12" ht="20" customHeight="1">
      <c r="A12" s="4">
        <f>DATE(2025,4,6)</f>
        <v/>
      </c>
      <c r="B12" s="4" t="n">
        <v>6</v>
      </c>
      <c r="C12" s="4">
        <f>Q11</f>
        <v/>
      </c>
      <c r="D12" s="3" t="n"/>
      <c r="E12" s="3" t="n"/>
      <c r="F12" s="3" t="n"/>
      <c r="G12" s="3" t="n"/>
      <c r="H12" s="3" t="n"/>
      <c r="I12" s="3" t="n"/>
      <c r="J12" s="4">
        <f>SUM(D12:H12)+I12</f>
        <v/>
      </c>
      <c r="K12" s="3" t="n"/>
      <c r="L12" s="3" t="n"/>
      <c r="M12" s="3" t="n"/>
      <c r="N12" s="4">
        <f>SUM(K12:M12)</f>
        <v/>
      </c>
      <c r="O12" s="3" t="n"/>
      <c r="P12" s="3">
        <f>00_PARAMETROS!B5</f>
        <v/>
      </c>
      <c r="Q12" s="4">
        <f>C12+J12-N12</f>
        <v/>
      </c>
      <c r="R12" s="3" t="n"/>
      <c r="S12" s="3" t="n"/>
    </row>
    <row r="13" ht="20" customHeight="1">
      <c r="A13" s="4">
        <f>DATE(2025,4,7)</f>
        <v/>
      </c>
      <c r="B13" s="4" t="n">
        <v>7</v>
      </c>
      <c r="C13" s="4">
        <f>Q12</f>
        <v/>
      </c>
      <c r="D13" s="3" t="n"/>
      <c r="E13" s="3" t="n"/>
      <c r="F13" s="3" t="n"/>
      <c r="G13" s="3" t="n"/>
      <c r="H13" s="3" t="n"/>
      <c r="I13" s="3" t="n"/>
      <c r="J13" s="4">
        <f>SUM(D13:H13)+I13</f>
        <v/>
      </c>
      <c r="K13" s="3" t="n"/>
      <c r="L13" s="3" t="n"/>
      <c r="M13" s="3" t="n"/>
      <c r="N13" s="4">
        <f>SUM(K13:M13)</f>
        <v/>
      </c>
      <c r="O13" s="3" t="n"/>
      <c r="P13" s="3">
        <f>00_PARAMETROS!B5</f>
        <v/>
      </c>
      <c r="Q13" s="4">
        <f>C13+J13-N13</f>
        <v/>
      </c>
      <c r="R13" s="3" t="n"/>
      <c r="S13" s="3" t="n"/>
    </row>
    <row r="14" ht="20" customHeight="1">
      <c r="A14" s="4">
        <f>DATE(2025,4,8)</f>
        <v/>
      </c>
      <c r="B14" s="4" t="n">
        <v>8</v>
      </c>
      <c r="C14" s="4">
        <f>Q13</f>
        <v/>
      </c>
      <c r="D14" s="3" t="n"/>
      <c r="E14" s="3" t="n"/>
      <c r="F14" s="3" t="n"/>
      <c r="G14" s="3" t="n"/>
      <c r="H14" s="3" t="n"/>
      <c r="I14" s="3" t="n"/>
      <c r="J14" s="4">
        <f>SUM(D14:H14)+I14</f>
        <v/>
      </c>
      <c r="K14" s="3" t="n"/>
      <c r="L14" s="3" t="n"/>
      <c r="M14" s="3" t="n"/>
      <c r="N14" s="4">
        <f>SUM(K14:M14)</f>
        <v/>
      </c>
      <c r="O14" s="3" t="n"/>
      <c r="P14" s="3">
        <f>00_PARAMETROS!B5</f>
        <v/>
      </c>
      <c r="Q14" s="4">
        <f>C14+J14-N14</f>
        <v/>
      </c>
      <c r="R14" s="3" t="n"/>
      <c r="S14" s="3" t="n"/>
    </row>
    <row r="15" ht="20" customHeight="1">
      <c r="A15" s="4">
        <f>DATE(2025,4,9)</f>
        <v/>
      </c>
      <c r="B15" s="4" t="n">
        <v>9</v>
      </c>
      <c r="C15" s="4">
        <f>Q14</f>
        <v/>
      </c>
      <c r="D15" s="3" t="n"/>
      <c r="E15" s="3" t="n"/>
      <c r="F15" s="3" t="n"/>
      <c r="G15" s="3" t="n"/>
      <c r="H15" s="3" t="n"/>
      <c r="I15" s="3" t="n"/>
      <c r="J15" s="4">
        <f>SUM(D15:H15)+I15</f>
        <v/>
      </c>
      <c r="K15" s="3" t="n"/>
      <c r="L15" s="3" t="n"/>
      <c r="M15" s="3" t="n"/>
      <c r="N15" s="4">
        <f>SUM(K15:M15)</f>
        <v/>
      </c>
      <c r="O15" s="3" t="n"/>
      <c r="P15" s="3">
        <f>00_PARAMETROS!B5</f>
        <v/>
      </c>
      <c r="Q15" s="4">
        <f>C15+J15-N15</f>
        <v/>
      </c>
      <c r="R15" s="3" t="n"/>
      <c r="S15" s="3" t="n"/>
    </row>
    <row r="16" ht="20" customHeight="1">
      <c r="A16" s="4">
        <f>DATE(2025,4,10)</f>
        <v/>
      </c>
      <c r="B16" s="4" t="n">
        <v>10</v>
      </c>
      <c r="C16" s="4">
        <f>Q15</f>
        <v/>
      </c>
      <c r="D16" s="3" t="n"/>
      <c r="E16" s="3" t="n"/>
      <c r="F16" s="3" t="n"/>
      <c r="G16" s="3" t="n"/>
      <c r="H16" s="3" t="n"/>
      <c r="I16" s="3" t="n"/>
      <c r="J16" s="4">
        <f>SUM(D16:H16)+I16</f>
        <v/>
      </c>
      <c r="K16" s="3" t="n"/>
      <c r="L16" s="3" t="n"/>
      <c r="M16" s="3" t="n"/>
      <c r="N16" s="4">
        <f>SUM(K16:M16)</f>
        <v/>
      </c>
      <c r="O16" s="3" t="n"/>
      <c r="P16" s="3">
        <f>00_PARAMETROS!B5</f>
        <v/>
      </c>
      <c r="Q16" s="4">
        <f>C16+J16-N16</f>
        <v/>
      </c>
      <c r="R16" s="3" t="n"/>
      <c r="S16" s="3" t="n"/>
    </row>
    <row r="17" ht="20" customHeight="1">
      <c r="A17" s="4">
        <f>DATE(2025,4,11)</f>
        <v/>
      </c>
      <c r="B17" s="4" t="n">
        <v>11</v>
      </c>
      <c r="C17" s="4">
        <f>Q16</f>
        <v/>
      </c>
      <c r="D17" s="3" t="n"/>
      <c r="E17" s="3" t="n"/>
      <c r="F17" s="3" t="n"/>
      <c r="G17" s="3" t="n"/>
      <c r="H17" s="3" t="n"/>
      <c r="I17" s="3" t="n"/>
      <c r="J17" s="4">
        <f>SUM(D17:H17)+I17</f>
        <v/>
      </c>
      <c r="K17" s="3" t="n"/>
      <c r="L17" s="3" t="n"/>
      <c r="M17" s="3" t="n"/>
      <c r="N17" s="4">
        <f>SUM(K17:M17)</f>
        <v/>
      </c>
      <c r="O17" s="3" t="n"/>
      <c r="P17" s="3">
        <f>00_PARAMETROS!B5</f>
        <v/>
      </c>
      <c r="Q17" s="4">
        <f>C17+J17-N17</f>
        <v/>
      </c>
      <c r="R17" s="3" t="n"/>
      <c r="S17" s="3" t="n"/>
    </row>
    <row r="18" ht="20" customHeight="1">
      <c r="A18" s="4">
        <f>DATE(2025,4,12)</f>
        <v/>
      </c>
      <c r="B18" s="4" t="n">
        <v>12</v>
      </c>
      <c r="C18" s="4">
        <f>Q17</f>
        <v/>
      </c>
      <c r="D18" s="3" t="n"/>
      <c r="E18" s="3" t="n"/>
      <c r="F18" s="3" t="n"/>
      <c r="G18" s="3" t="n"/>
      <c r="H18" s="3" t="n"/>
      <c r="I18" s="3" t="n"/>
      <c r="J18" s="4">
        <f>SUM(D18:H18)+I18</f>
        <v/>
      </c>
      <c r="K18" s="3" t="n"/>
      <c r="L18" s="3" t="n"/>
      <c r="M18" s="3" t="n"/>
      <c r="N18" s="4">
        <f>SUM(K18:M18)</f>
        <v/>
      </c>
      <c r="O18" s="3" t="n"/>
      <c r="P18" s="3">
        <f>00_PARAMETROS!B5</f>
        <v/>
      </c>
      <c r="Q18" s="4">
        <f>C18+J18-N18</f>
        <v/>
      </c>
      <c r="R18" s="3" t="n"/>
      <c r="S18" s="3" t="n"/>
    </row>
    <row r="19" ht="20" customHeight="1">
      <c r="A19" s="4">
        <f>DATE(2025,4,13)</f>
        <v/>
      </c>
      <c r="B19" s="4" t="n">
        <v>13</v>
      </c>
      <c r="C19" s="4">
        <f>Q18</f>
        <v/>
      </c>
      <c r="D19" s="3" t="n"/>
      <c r="E19" s="3" t="n"/>
      <c r="F19" s="3" t="n"/>
      <c r="G19" s="3" t="n"/>
      <c r="H19" s="3" t="n"/>
      <c r="I19" s="3" t="n"/>
      <c r="J19" s="4">
        <f>SUM(D19:H19)+I19</f>
        <v/>
      </c>
      <c r="K19" s="3" t="n"/>
      <c r="L19" s="3" t="n"/>
      <c r="M19" s="3" t="n"/>
      <c r="N19" s="4">
        <f>SUM(K19:M19)</f>
        <v/>
      </c>
      <c r="O19" s="3" t="n"/>
      <c r="P19" s="3">
        <f>00_PARAMETROS!B5</f>
        <v/>
      </c>
      <c r="Q19" s="4">
        <f>C19+J19-N19</f>
        <v/>
      </c>
      <c r="R19" s="3" t="n"/>
      <c r="S19" s="3" t="n"/>
    </row>
    <row r="20" ht="20" customHeight="1">
      <c r="A20" s="4">
        <f>DATE(2025,4,14)</f>
        <v/>
      </c>
      <c r="B20" s="4" t="n">
        <v>14</v>
      </c>
      <c r="C20" s="4">
        <f>Q19</f>
        <v/>
      </c>
      <c r="D20" s="3" t="n"/>
      <c r="E20" s="3" t="n"/>
      <c r="F20" s="3" t="n"/>
      <c r="G20" s="3" t="n"/>
      <c r="H20" s="3" t="n"/>
      <c r="I20" s="3" t="n"/>
      <c r="J20" s="4">
        <f>SUM(D20:H20)+I20</f>
        <v/>
      </c>
      <c r="K20" s="3" t="n"/>
      <c r="L20" s="3" t="n"/>
      <c r="M20" s="3" t="n"/>
      <c r="N20" s="4">
        <f>SUM(K20:M20)</f>
        <v/>
      </c>
      <c r="O20" s="3" t="n"/>
      <c r="P20" s="3">
        <f>00_PARAMETROS!B5</f>
        <v/>
      </c>
      <c r="Q20" s="4">
        <f>C20+J20-N20</f>
        <v/>
      </c>
      <c r="R20" s="3" t="n"/>
      <c r="S20" s="3" t="n"/>
    </row>
    <row r="21" ht="20" customHeight="1">
      <c r="A21" s="4">
        <f>DATE(2025,4,15)</f>
        <v/>
      </c>
      <c r="B21" s="4" t="n">
        <v>15</v>
      </c>
      <c r="C21" s="4">
        <f>Q20</f>
        <v/>
      </c>
      <c r="D21" s="3" t="n"/>
      <c r="E21" s="3" t="n"/>
      <c r="F21" s="3" t="n"/>
      <c r="G21" s="3" t="n"/>
      <c r="H21" s="3" t="n"/>
      <c r="I21" s="3" t="n"/>
      <c r="J21" s="4">
        <f>SUM(D21:H21)+I21</f>
        <v/>
      </c>
      <c r="K21" s="3" t="n"/>
      <c r="L21" s="3" t="n"/>
      <c r="M21" s="3" t="n"/>
      <c r="N21" s="4">
        <f>SUM(K21:M21)</f>
        <v/>
      </c>
      <c r="O21" s="3" t="n"/>
      <c r="P21" s="3">
        <f>00_PARAMETROS!B5</f>
        <v/>
      </c>
      <c r="Q21" s="4">
        <f>C21+J21-N21</f>
        <v/>
      </c>
      <c r="R21" s="3" t="n"/>
      <c r="S21" s="3" t="n"/>
    </row>
    <row r="22" ht="20" customHeight="1">
      <c r="A22" s="4">
        <f>DATE(2025,4,16)</f>
        <v/>
      </c>
      <c r="B22" s="4" t="n">
        <v>16</v>
      </c>
      <c r="C22" s="4">
        <f>Q21</f>
        <v/>
      </c>
      <c r="D22" s="3" t="n"/>
      <c r="E22" s="3" t="n"/>
      <c r="F22" s="3" t="n"/>
      <c r="G22" s="3" t="n"/>
      <c r="H22" s="3" t="n"/>
      <c r="I22" s="3" t="n"/>
      <c r="J22" s="4">
        <f>SUM(D22:H22)+I22</f>
        <v/>
      </c>
      <c r="K22" s="3" t="n"/>
      <c r="L22" s="3" t="n"/>
      <c r="M22" s="3" t="n"/>
      <c r="N22" s="4">
        <f>SUM(K22:M22)</f>
        <v/>
      </c>
      <c r="O22" s="3" t="n"/>
      <c r="P22" s="3">
        <f>00_PARAMETROS!B5</f>
        <v/>
      </c>
      <c r="Q22" s="4">
        <f>C22+J22-N22</f>
        <v/>
      </c>
      <c r="R22" s="3" t="n"/>
      <c r="S22" s="3" t="n"/>
    </row>
    <row r="23" ht="20" customHeight="1">
      <c r="A23" s="4">
        <f>DATE(2025,4,17)</f>
        <v/>
      </c>
      <c r="B23" s="4" t="n">
        <v>17</v>
      </c>
      <c r="C23" s="4">
        <f>Q22</f>
        <v/>
      </c>
      <c r="D23" s="3" t="n"/>
      <c r="E23" s="3" t="n"/>
      <c r="F23" s="3" t="n"/>
      <c r="G23" s="3" t="n"/>
      <c r="H23" s="3" t="n"/>
      <c r="I23" s="3" t="n"/>
      <c r="J23" s="4">
        <f>SUM(D23:H23)+I23</f>
        <v/>
      </c>
      <c r="K23" s="3" t="n"/>
      <c r="L23" s="3" t="n"/>
      <c r="M23" s="3" t="n"/>
      <c r="N23" s="4">
        <f>SUM(K23:M23)</f>
        <v/>
      </c>
      <c r="O23" s="3" t="n"/>
      <c r="P23" s="3">
        <f>00_PARAMETROS!B5</f>
        <v/>
      </c>
      <c r="Q23" s="4">
        <f>C23+J23-N23</f>
        <v/>
      </c>
      <c r="R23" s="3" t="n"/>
      <c r="S23" s="3" t="n"/>
    </row>
    <row r="24" ht="20" customHeight="1">
      <c r="A24" s="4">
        <f>DATE(2025,4,18)</f>
        <v/>
      </c>
      <c r="B24" s="4" t="n">
        <v>18</v>
      </c>
      <c r="C24" s="4">
        <f>Q23</f>
        <v/>
      </c>
      <c r="D24" s="3" t="n"/>
      <c r="E24" s="3" t="n"/>
      <c r="F24" s="3" t="n"/>
      <c r="G24" s="3" t="n"/>
      <c r="H24" s="3" t="n"/>
      <c r="I24" s="3" t="n"/>
      <c r="J24" s="4">
        <f>SUM(D24:H24)+I24</f>
        <v/>
      </c>
      <c r="K24" s="3" t="n"/>
      <c r="L24" s="3" t="n"/>
      <c r="M24" s="3" t="n"/>
      <c r="N24" s="4">
        <f>SUM(K24:M24)</f>
        <v/>
      </c>
      <c r="O24" s="3" t="n"/>
      <c r="P24" s="3">
        <f>00_PARAMETROS!B5</f>
        <v/>
      </c>
      <c r="Q24" s="4">
        <f>C24+J24-N24</f>
        <v/>
      </c>
      <c r="R24" s="3" t="n"/>
      <c r="S24" s="3" t="n"/>
    </row>
    <row r="25" ht="20" customHeight="1">
      <c r="A25" s="4">
        <f>DATE(2025,4,19)</f>
        <v/>
      </c>
      <c r="B25" s="4" t="n">
        <v>19</v>
      </c>
      <c r="C25" s="4">
        <f>Q24</f>
        <v/>
      </c>
      <c r="D25" s="3" t="n"/>
      <c r="E25" s="3" t="n"/>
      <c r="F25" s="3" t="n"/>
      <c r="G25" s="3" t="n"/>
      <c r="H25" s="3" t="n"/>
      <c r="I25" s="3" t="n"/>
      <c r="J25" s="4">
        <f>SUM(D25:H25)+I25</f>
        <v/>
      </c>
      <c r="K25" s="3" t="n"/>
      <c r="L25" s="3" t="n"/>
      <c r="M25" s="3" t="n"/>
      <c r="N25" s="4">
        <f>SUM(K25:M25)</f>
        <v/>
      </c>
      <c r="O25" s="3" t="n"/>
      <c r="P25" s="3">
        <f>00_PARAMETROS!B5</f>
        <v/>
      </c>
      <c r="Q25" s="4">
        <f>C25+J25-N25</f>
        <v/>
      </c>
      <c r="R25" s="3" t="n"/>
      <c r="S25" s="3" t="n"/>
    </row>
    <row r="26" ht="20" customHeight="1">
      <c r="A26" s="4">
        <f>DATE(2025,4,20)</f>
        <v/>
      </c>
      <c r="B26" s="4" t="n">
        <v>20</v>
      </c>
      <c r="C26" s="4">
        <f>Q25</f>
        <v/>
      </c>
      <c r="D26" s="3" t="n"/>
      <c r="E26" s="3" t="n"/>
      <c r="F26" s="3" t="n"/>
      <c r="G26" s="3" t="n"/>
      <c r="H26" s="3" t="n"/>
      <c r="I26" s="3" t="n"/>
      <c r="J26" s="4">
        <f>SUM(D26:H26)+I26</f>
        <v/>
      </c>
      <c r="K26" s="3" t="n"/>
      <c r="L26" s="3" t="n"/>
      <c r="M26" s="3" t="n"/>
      <c r="N26" s="4">
        <f>SUM(K26:M26)</f>
        <v/>
      </c>
      <c r="O26" s="3" t="n"/>
      <c r="P26" s="3">
        <f>00_PARAMETROS!B5</f>
        <v/>
      </c>
      <c r="Q26" s="4">
        <f>C26+J26-N26</f>
        <v/>
      </c>
      <c r="R26" s="3" t="n"/>
      <c r="S26" s="3" t="n"/>
    </row>
    <row r="27" ht="20" customHeight="1">
      <c r="A27" s="4">
        <f>DATE(2025,4,21)</f>
        <v/>
      </c>
      <c r="B27" s="4" t="n">
        <v>21</v>
      </c>
      <c r="C27" s="4">
        <f>Q26</f>
        <v/>
      </c>
      <c r="D27" s="3" t="n"/>
      <c r="E27" s="3" t="n"/>
      <c r="F27" s="3" t="n"/>
      <c r="G27" s="3" t="n"/>
      <c r="H27" s="3" t="n"/>
      <c r="I27" s="3" t="n"/>
      <c r="J27" s="4">
        <f>SUM(D27:H27)+I27</f>
        <v/>
      </c>
      <c r="K27" s="3" t="n"/>
      <c r="L27" s="3" t="n"/>
      <c r="M27" s="3" t="n"/>
      <c r="N27" s="4">
        <f>SUM(K27:M27)</f>
        <v/>
      </c>
      <c r="O27" s="3" t="n"/>
      <c r="P27" s="3">
        <f>00_PARAMETROS!B5</f>
        <v/>
      </c>
      <c r="Q27" s="4">
        <f>C27+J27-N27</f>
        <v/>
      </c>
      <c r="R27" s="3" t="n"/>
      <c r="S27" s="3" t="n"/>
    </row>
    <row r="28" ht="20" customHeight="1">
      <c r="A28" s="4">
        <f>DATE(2025,4,22)</f>
        <v/>
      </c>
      <c r="B28" s="4" t="n">
        <v>22</v>
      </c>
      <c r="C28" s="4">
        <f>Q27</f>
        <v/>
      </c>
      <c r="D28" s="3" t="n"/>
      <c r="E28" s="3" t="n"/>
      <c r="F28" s="3" t="n"/>
      <c r="G28" s="3" t="n"/>
      <c r="H28" s="3" t="n"/>
      <c r="I28" s="3" t="n"/>
      <c r="J28" s="4">
        <f>SUM(D28:H28)+I28</f>
        <v/>
      </c>
      <c r="K28" s="3" t="n"/>
      <c r="L28" s="3" t="n"/>
      <c r="M28" s="3" t="n"/>
      <c r="N28" s="4">
        <f>SUM(K28:M28)</f>
        <v/>
      </c>
      <c r="O28" s="3" t="n"/>
      <c r="P28" s="3">
        <f>00_PARAMETROS!B5</f>
        <v/>
      </c>
      <c r="Q28" s="4">
        <f>C28+J28-N28</f>
        <v/>
      </c>
      <c r="R28" s="3" t="n"/>
      <c r="S28" s="3" t="n"/>
    </row>
    <row r="29" ht="20" customHeight="1">
      <c r="A29" s="4">
        <f>DATE(2025,4,23)</f>
        <v/>
      </c>
      <c r="B29" s="4" t="n">
        <v>23</v>
      </c>
      <c r="C29" s="4">
        <f>Q28</f>
        <v/>
      </c>
      <c r="D29" s="3" t="n"/>
      <c r="E29" s="3" t="n"/>
      <c r="F29" s="3" t="n"/>
      <c r="G29" s="3" t="n"/>
      <c r="H29" s="3" t="n"/>
      <c r="I29" s="3" t="n"/>
      <c r="J29" s="4">
        <f>SUM(D29:H29)+I29</f>
        <v/>
      </c>
      <c r="K29" s="3" t="n"/>
      <c r="L29" s="3" t="n"/>
      <c r="M29" s="3" t="n"/>
      <c r="N29" s="4">
        <f>SUM(K29:M29)</f>
        <v/>
      </c>
      <c r="O29" s="3" t="n"/>
      <c r="P29" s="3">
        <f>00_PARAMETROS!B5</f>
        <v/>
      </c>
      <c r="Q29" s="4">
        <f>C29+J29-N29</f>
        <v/>
      </c>
      <c r="R29" s="3" t="n"/>
      <c r="S29" s="3" t="n"/>
    </row>
    <row r="30" ht="20" customHeight="1">
      <c r="A30" s="4">
        <f>DATE(2025,4,24)</f>
        <v/>
      </c>
      <c r="B30" s="4" t="n">
        <v>24</v>
      </c>
      <c r="C30" s="4">
        <f>Q29</f>
        <v/>
      </c>
      <c r="D30" s="3" t="n"/>
      <c r="E30" s="3" t="n"/>
      <c r="F30" s="3" t="n"/>
      <c r="G30" s="3" t="n"/>
      <c r="H30" s="3" t="n"/>
      <c r="I30" s="3" t="n"/>
      <c r="J30" s="4">
        <f>SUM(D30:H30)+I30</f>
        <v/>
      </c>
      <c r="K30" s="3" t="n"/>
      <c r="L30" s="3" t="n"/>
      <c r="M30" s="3" t="n"/>
      <c r="N30" s="4">
        <f>SUM(K30:M30)</f>
        <v/>
      </c>
      <c r="O30" s="3" t="n"/>
      <c r="P30" s="3">
        <f>00_PARAMETROS!B5</f>
        <v/>
      </c>
      <c r="Q30" s="4">
        <f>C30+J30-N30</f>
        <v/>
      </c>
      <c r="R30" s="3" t="n"/>
      <c r="S30" s="3" t="n"/>
    </row>
    <row r="31" ht="20" customHeight="1">
      <c r="A31" s="4">
        <f>DATE(2025,4,25)</f>
        <v/>
      </c>
      <c r="B31" s="4" t="n">
        <v>25</v>
      </c>
      <c r="C31" s="4">
        <f>Q30</f>
        <v/>
      </c>
      <c r="D31" s="3" t="n"/>
      <c r="E31" s="3" t="n"/>
      <c r="F31" s="3" t="n"/>
      <c r="G31" s="3" t="n"/>
      <c r="H31" s="3" t="n"/>
      <c r="I31" s="3" t="n"/>
      <c r="J31" s="4">
        <f>SUM(D31:H31)+I31</f>
        <v/>
      </c>
      <c r="K31" s="3" t="n"/>
      <c r="L31" s="3" t="n"/>
      <c r="M31" s="3" t="n"/>
      <c r="N31" s="4">
        <f>SUM(K31:M31)</f>
        <v/>
      </c>
      <c r="O31" s="3" t="n"/>
      <c r="P31" s="3">
        <f>00_PARAMETROS!B5</f>
        <v/>
      </c>
      <c r="Q31" s="4">
        <f>C31+J31-N31</f>
        <v/>
      </c>
      <c r="R31" s="3" t="n"/>
      <c r="S31" s="3" t="n"/>
    </row>
    <row r="32" ht="20" customHeight="1">
      <c r="A32" s="4">
        <f>DATE(2025,4,26)</f>
        <v/>
      </c>
      <c r="B32" s="4" t="n">
        <v>26</v>
      </c>
      <c r="C32" s="4">
        <f>Q31</f>
        <v/>
      </c>
      <c r="D32" s="3" t="n"/>
      <c r="E32" s="3" t="n"/>
      <c r="F32" s="3" t="n"/>
      <c r="G32" s="3" t="n"/>
      <c r="H32" s="3" t="n"/>
      <c r="I32" s="3" t="n"/>
      <c r="J32" s="4">
        <f>SUM(D32:H32)+I32</f>
        <v/>
      </c>
      <c r="K32" s="3" t="n"/>
      <c r="L32" s="3" t="n"/>
      <c r="M32" s="3" t="n"/>
      <c r="N32" s="4">
        <f>SUM(K32:M32)</f>
        <v/>
      </c>
      <c r="O32" s="3" t="n"/>
      <c r="P32" s="3">
        <f>00_PARAMETROS!B5</f>
        <v/>
      </c>
      <c r="Q32" s="4">
        <f>C32+J32-N32</f>
        <v/>
      </c>
      <c r="R32" s="3" t="n"/>
      <c r="S32" s="3" t="n"/>
    </row>
    <row r="33" ht="20" customHeight="1">
      <c r="A33" s="4">
        <f>DATE(2025,4,27)</f>
        <v/>
      </c>
      <c r="B33" s="4" t="n">
        <v>27</v>
      </c>
      <c r="C33" s="4">
        <f>Q32</f>
        <v/>
      </c>
      <c r="D33" s="3" t="n"/>
      <c r="E33" s="3" t="n"/>
      <c r="F33" s="3" t="n"/>
      <c r="G33" s="3" t="n"/>
      <c r="H33" s="3" t="n"/>
      <c r="I33" s="3" t="n"/>
      <c r="J33" s="4">
        <f>SUM(D33:H33)+I33</f>
        <v/>
      </c>
      <c r="K33" s="3" t="n"/>
      <c r="L33" s="3" t="n"/>
      <c r="M33" s="3" t="n"/>
      <c r="N33" s="4">
        <f>SUM(K33:M33)</f>
        <v/>
      </c>
      <c r="O33" s="3" t="n"/>
      <c r="P33" s="3">
        <f>00_PARAMETROS!B5</f>
        <v/>
      </c>
      <c r="Q33" s="4">
        <f>C33+J33-N33</f>
        <v/>
      </c>
      <c r="R33" s="3" t="n"/>
      <c r="S33" s="3" t="n"/>
    </row>
    <row r="34" ht="20" customHeight="1">
      <c r="A34" s="4">
        <f>DATE(2025,4,28)</f>
        <v/>
      </c>
      <c r="B34" s="4" t="n">
        <v>28</v>
      </c>
      <c r="C34" s="4">
        <f>Q33</f>
        <v/>
      </c>
      <c r="D34" s="3" t="n"/>
      <c r="E34" s="3" t="n"/>
      <c r="F34" s="3" t="n"/>
      <c r="G34" s="3" t="n"/>
      <c r="H34" s="3" t="n"/>
      <c r="I34" s="3" t="n"/>
      <c r="J34" s="4">
        <f>SUM(D34:H34)+I34</f>
        <v/>
      </c>
      <c r="K34" s="3" t="n"/>
      <c r="L34" s="3" t="n"/>
      <c r="M34" s="3" t="n"/>
      <c r="N34" s="4">
        <f>SUM(K34:M34)</f>
        <v/>
      </c>
      <c r="O34" s="3" t="n"/>
      <c r="P34" s="3">
        <f>00_PARAMETROS!B5</f>
        <v/>
      </c>
      <c r="Q34" s="4">
        <f>C34+J34-N34</f>
        <v/>
      </c>
      <c r="R34" s="3" t="n"/>
      <c r="S34" s="3" t="n"/>
    </row>
    <row r="35" ht="20" customHeight="1">
      <c r="A35" s="4">
        <f>DATE(2025,4,29)</f>
        <v/>
      </c>
      <c r="B35" s="4" t="n">
        <v>29</v>
      </c>
      <c r="C35" s="4">
        <f>Q34</f>
        <v/>
      </c>
      <c r="D35" s="3" t="n"/>
      <c r="E35" s="3" t="n"/>
      <c r="F35" s="3" t="n"/>
      <c r="G35" s="3" t="n"/>
      <c r="H35" s="3" t="n"/>
      <c r="I35" s="3" t="n"/>
      <c r="J35" s="4">
        <f>SUM(D35:H35)+I35</f>
        <v/>
      </c>
      <c r="K35" s="3" t="n"/>
      <c r="L35" s="3" t="n"/>
      <c r="M35" s="3" t="n"/>
      <c r="N35" s="4">
        <f>SUM(K35:M35)</f>
        <v/>
      </c>
      <c r="O35" s="3" t="n"/>
      <c r="P35" s="3">
        <f>00_PARAMETROS!B5</f>
        <v/>
      </c>
      <c r="Q35" s="4">
        <f>C35+J35-N35</f>
        <v/>
      </c>
      <c r="R35" s="3" t="n"/>
      <c r="S35" s="3" t="n"/>
    </row>
    <row r="36" ht="20" customHeight="1">
      <c r="A36" s="4">
        <f>DATE(2025,4,30)</f>
        <v/>
      </c>
      <c r="B36" s="4" t="n">
        <v>30</v>
      </c>
      <c r="C36" s="4">
        <f>Q35</f>
        <v/>
      </c>
      <c r="D36" s="3" t="n"/>
      <c r="E36" s="3" t="n"/>
      <c r="F36" s="3" t="n"/>
      <c r="G36" s="3" t="n"/>
      <c r="H36" s="3" t="n"/>
      <c r="I36" s="3" t="n"/>
      <c r="J36" s="4">
        <f>SUM(D36:H36)+I36</f>
        <v/>
      </c>
      <c r="K36" s="3" t="n"/>
      <c r="L36" s="3" t="n"/>
      <c r="M36" s="3" t="n"/>
      <c r="N36" s="4">
        <f>SUM(K36:M36)</f>
        <v/>
      </c>
      <c r="O36" s="3" t="n"/>
      <c r="P36" s="3">
        <f>00_PARAMETROS!B5</f>
        <v/>
      </c>
      <c r="Q36" s="4">
        <f>C36+J36-N36</f>
        <v/>
      </c>
      <c r="R36" s="3" t="n"/>
      <c r="S36" s="3" t="n"/>
    </row>
    <row r="37" ht="20" customHeight="1">
      <c r="A37" s="2" t="inlineStr">
        <is>
          <t>TOTAL</t>
        </is>
      </c>
      <c r="B37" s="7" t="n"/>
      <c r="C37" s="7" t="n"/>
      <c r="D37" s="8">
        <f>SUM(D7:D36)</f>
        <v/>
      </c>
      <c r="E37" s="8">
        <f>SUM(E7:E36)</f>
        <v/>
      </c>
      <c r="F37" s="8">
        <f>SUM(F7:F36)</f>
        <v/>
      </c>
      <c r="G37" s="8">
        <f>SUM(G7:G36)</f>
        <v/>
      </c>
      <c r="H37" s="8">
        <f>SUM(H7:H36)</f>
        <v/>
      </c>
      <c r="I37" s="8">
        <f>SUM(I7:I36)</f>
        <v/>
      </c>
      <c r="J37" s="8">
        <f>SUM(J7:J36)</f>
        <v/>
      </c>
      <c r="K37" s="8">
        <f>SUM(K7:K36)</f>
        <v/>
      </c>
      <c r="L37" s="8">
        <f>SUM(L7:L36)</f>
        <v/>
      </c>
      <c r="M37" s="8">
        <f>SUM(M7:M36)</f>
        <v/>
      </c>
      <c r="N37" s="8">
        <f>SUM(N7:N36)</f>
        <v/>
      </c>
      <c r="O37" s="8">
        <f>SUM(O7:O36)</f>
        <v/>
      </c>
      <c r="P37" s="8">
        <f>SUM(P7:P36)</f>
        <v/>
      </c>
      <c r="Q37" s="8">
        <f>SUM(Q7:Q36)</f>
        <v/>
      </c>
      <c r="R37" s="8">
        <f>SUM(R7:R36)</f>
        <v/>
      </c>
      <c r="S37" s="8">
        <f>SUM(S7:S36)</f>
        <v/>
      </c>
    </row>
    <row r="38" ht="20" customHeight="1"/>
    <row r="39" ht="20" customHeight="1"/>
    <row r="40" ht="20" customHeight="1">
      <c r="A40" s="2" t="inlineStr">
        <is>
          <t>RESUMEN DEL MES</t>
        </is>
      </c>
      <c r="B40" s="9" t="n"/>
      <c r="C40" s="9" t="n"/>
      <c r="D40" s="10" t="n"/>
    </row>
    <row r="41" ht="20" customHeight="1">
      <c r="A41" s="11" t="inlineStr">
        <is>
          <t>Ingresos</t>
        </is>
      </c>
      <c r="B41" s="4">
        <f>J37</f>
        <v/>
      </c>
    </row>
    <row r="42" ht="20" customHeight="1">
      <c r="A42" s="11" t="inlineStr">
        <is>
          <t>Altas al hogar / otro hosp.</t>
        </is>
      </c>
      <c r="B42" s="4">
        <f>K37</f>
        <v/>
      </c>
    </row>
    <row r="43" ht="20" customHeight="1">
      <c r="A43" s="11" t="inlineStr">
        <is>
          <t>Traslados a otro servicio</t>
        </is>
      </c>
      <c r="B43" s="4">
        <f>L37</f>
        <v/>
      </c>
    </row>
    <row r="44" ht="20" customHeight="1">
      <c r="A44" s="11" t="inlineStr">
        <is>
          <t>Fallecidos</t>
        </is>
      </c>
      <c r="B44" s="4">
        <f>M37</f>
        <v/>
      </c>
    </row>
    <row r="45" ht="20" customHeight="1">
      <c r="A45" s="11" t="inlineStr">
        <is>
          <t>Total egresos</t>
        </is>
      </c>
      <c r="B45" s="4">
        <f>N37</f>
        <v/>
      </c>
    </row>
    <row r="46" ht="20" customHeight="1">
      <c r="A46" s="11" t="inlineStr">
        <is>
          <t>Pacientes atendidos del mes</t>
        </is>
      </c>
      <c r="B46" s="4">
        <f>C7+J37</f>
        <v/>
      </c>
    </row>
    <row r="47" ht="20" customHeight="1">
      <c r="A47" s="11" t="inlineStr">
        <is>
          <t>Dias personas atendidas</t>
        </is>
      </c>
      <c r="B47" s="4">
        <f>R37</f>
        <v/>
      </c>
    </row>
    <row r="48" ht="20" customHeight="1">
      <c r="A48" s="11" t="inlineStr">
        <is>
          <t>Indice ocupacional %</t>
        </is>
      </c>
      <c r="B48" s="12">
        <f>IFERROR(Q37/P37,"")</f>
        <v/>
      </c>
    </row>
    <row r="49" ht="20" customHeight="1">
      <c r="A49" s="11" t="inlineStr">
        <is>
          <t>Promedio dia de estada</t>
        </is>
      </c>
      <c r="B49" s="13">
        <f>IFERROR(R37/N37,"")</f>
        <v/>
      </c>
    </row>
  </sheetData>
  <sheetProtection selectLockedCells="1" selectUnlockedCells="1" sheet="1" objects="0" insertRows="1" insertHyperlinks="1" autoFilter="1" scenarios="0" formatColumns="1" deleteColumns="1" insertColumns="1" pivotTables="1" deleteRows="1" formatCells="1" formatRows="1" sort="1" password="C752"/>
  <mergeCells count="3">
    <mergeCell ref="U1:W1"/>
    <mergeCell ref="A40:D40"/>
    <mergeCell ref="A1:S1"/>
  </mergeCells>
  <dataValidations count="1">
    <dataValidation sqref="D7 D8 D9 D10 D11 D12 D13 D14 D15 D16 D17 D18 D19 D20 D21 D22 D23 D24 D25 D26 D27 D28 D29 D30 D31 D32 D33 D34 D35 D36 E7 E8 E9 E10 E11 E12 E13 E14 E15 E16 E17 E18 E19 E20 E21 E22 E23 E24 E25 E26 E27 E28 E29 E30 E31 E32 E33 E34 E35 E36 F7 F8 F9 F10 F11 F12 F13 F14 F15 F16 F17 F18 F19 F20 F21 F22 F23 F24 F25 F26 F27 F28 F29 F30 F31 F32 F33 F34 F35 F36 G7 G8 G9 G10 G11 G12 G13 G14 G15 G16 G17 G18 G19 G20 G21 G22 G23 G24 G25 G26 G27 G28 G29 G30 G31 G32 G33 G34 G35 G36 H7 H8 H9 H10 H11 H12 H13 H14 H15 H16 H17 H18 H19 H20 H21 H22 H23 H24 H25 H26 H27 H28 H29 H30 H31 H32 H33 H34 H35 H36 I7 I8 I9 I10 I11 I12 I13 I14 I15 I16 I17 I18 I19 I20 I21 I22 I23 I24 I25 I26 I27 I28 I29 I30 I31 I32 I33 I34 I35 I36 K7 K8 K9 K10 K11 K12 K13 K14 K15 K16 K17 K18 K19 K20 K21 K22 K23 K24 K25 K26 K27 K28 K29 K30 K31 K32 K33 K34 K35 K36 L7 L8 L9 L10 L11 L12 L13 L14 L15 L16 L17 L18 L19 L20 L21 L22 L23 L24 L25 L26 L27 L28 L29 L30 L31 L32 L33 L34 L35 L36 M7 M8 M9 M10 M11 M12 M13 M14 M15 M16 M17 M18 M19 M20 M21 M22 M23 M24 M25 M26 M27 M28 M29 M30 M31 M32 M33 M34 M35 M36 O7 O8 O9 O10 O11 O12 O13 O14 O15 O16 O17 O18 O19 O20 O21 O22 O23 O24 O25 O26 O27 O28 O29 O30 O31 O32 O33 O34 O35 O36 P7 P8 P9 P10 P11 P12 P13 P14 P15 P16 P17 P18 P19 P20 P21 P22 P23 P24 P25 P26 P27 P28 P29 P30 P31 P32 P33 P34 P35 P36 R7 R8 R9 R10 R11 R12 R13 R14 R15 R16 R17 R18 R19 R20 R21 R22 R23 R24 R25 R26 R27 R28 R29 R30 R31 R32 R33 R34 R35 R36 S7 S8 S9 S10 S11 S12 S13 S14 S15 S16 S17 S18 S19 S20 S21 S22 S23 S24 S25 S26 S27 S28 S29 S30 S31 S32 S33 S34 S35 S36" showDropDown="0" showInputMessage="0" showErrorMessage="0" allowBlank="1" prompt="Ingresa un numero entero mayor o igual a 0." type="whole" operator="greaterThanOrEqual">
      <formula1>0</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50"/>
  <sheetViews>
    <sheetView showGridLines="1" workbookViewId="0">
      <pane ySplit="6" topLeftCell="A7" activePane="bottomLeft" state="frozen"/>
      <selection pane="bottomLeft" activeCell="A1" sqref="A1"/>
    </sheetView>
  </sheetViews>
  <sheetFormatPr baseColWidth="8" defaultRowHeight="15"/>
  <cols>
    <col width="13" customWidth="1" min="1" max="1"/>
    <col width="7" customWidth="1" min="2" max="2"/>
    <col width="20" customWidth="1" min="3" max="3"/>
    <col width="13" customWidth="1" min="4" max="4"/>
    <col width="18" customWidth="1" min="5" max="5"/>
    <col width="15" customWidth="1" min="6" max="6"/>
    <col width="16" customWidth="1" min="7" max="7"/>
    <col width="10" customWidth="1" min="8" max="8"/>
    <col width="15" customWidth="1" min="9" max="9"/>
    <col width="13" customWidth="1" min="10" max="10"/>
    <col width="20" customWidth="1" min="11" max="11"/>
    <col width="22" customWidth="1" min="12" max="12"/>
    <col width="14" customWidth="1" min="13" max="13"/>
    <col width="13" customWidth="1" min="14" max="14"/>
    <col width="18" customWidth="1" min="15" max="15"/>
    <col width="18" customWidth="1" min="16" max="16"/>
    <col width="17" customWidth="1" min="17" max="17"/>
    <col width="16" customWidth="1" min="18" max="18"/>
    <col width="16" customWidth="1" min="19" max="19"/>
    <col width="34" customWidth="1" min="21" max="21"/>
    <col width="12" customWidth="1" min="22" max="22"/>
  </cols>
  <sheetData>
    <row r="1" ht="20" customHeight="1">
      <c r="A1" s="1" t="inlineStr">
        <is>
          <t>RESUMEN MENSUAL HODOM</t>
        </is>
      </c>
      <c r="U1" s="1" t="inlineStr">
        <is>
          <t>CONTROL</t>
        </is>
      </c>
    </row>
    <row r="2" ht="20" customHeight="1">
      <c r="A2" s="2" t="inlineStr">
        <is>
          <t>Servicio</t>
        </is>
      </c>
      <c r="B2" s="4">
        <f>00_PARAMETROS!B3</f>
        <v/>
      </c>
      <c r="C2" s="2" t="inlineStr">
        <is>
          <t>Codigo</t>
        </is>
      </c>
      <c r="D2" s="4">
        <f>00_PARAMETROS!B4</f>
        <v/>
      </c>
      <c r="E2" s="2" t="inlineStr">
        <is>
          <t>Mes</t>
        </is>
      </c>
      <c r="F2" s="3" t="inlineStr">
        <is>
          <t>MAYO</t>
        </is>
      </c>
      <c r="G2" s="2" t="inlineStr">
        <is>
          <t>Ano</t>
        </is>
      </c>
      <c r="H2" s="3" t="n">
        <v>2025</v>
      </c>
    </row>
    <row r="3" ht="20" customHeight="1">
      <c r="A3" s="2" t="inlineStr">
        <is>
          <t>Camas base</t>
        </is>
      </c>
      <c r="B3" s="4">
        <f>00_PARAMETROS!B5</f>
        <v/>
      </c>
      <c r="C3" s="2" t="inlineStr">
        <is>
          <t>Promedio camas</t>
        </is>
      </c>
      <c r="D3" s="4">
        <f>AVERAGE(P7:P37)</f>
        <v/>
      </c>
      <c r="E3" s="2" t="inlineStr">
        <is>
          <t>Dias del mes</t>
        </is>
      </c>
      <c r="F3" s="3" t="n">
        <v>31</v>
      </c>
      <c r="U3" s="5" t="inlineStr">
        <is>
          <t>Dias con ocupacion negativa</t>
        </is>
      </c>
      <c r="V3" s="4">
        <f>COUNTIF(Q7:Q37,"&lt;0")</f>
        <v/>
      </c>
    </row>
    <row r="4" ht="20" customHeight="1">
      <c r="U4" s="5" t="inlineStr">
        <is>
          <t>Dias sin camas disponibles</t>
        </is>
      </c>
      <c r="V4" s="4">
        <f>COUNTBLANK(P7:P37)</f>
        <v/>
      </c>
    </row>
    <row r="5" ht="20" customHeight="1">
      <c r="U5" s="5" t="inlineStr">
        <is>
          <t>Primer dia sin existencia inicial</t>
        </is>
      </c>
      <c r="V5" s="4">
        <f>IF(C7="",1,0)</f>
        <v/>
      </c>
    </row>
    <row r="6" ht="36" customHeight="1">
      <c r="A6" s="6" t="inlineStr">
        <is>
          <t>Fecha</t>
        </is>
      </c>
      <c r="B6" s="6" t="inlineStr">
        <is>
          <t>Dia</t>
        </is>
      </c>
      <c r="C6" s="6" t="inlineStr">
        <is>
          <t>Existencia dia anterior</t>
        </is>
      </c>
      <c r="D6" s="6" t="inlineStr">
        <is>
          <t>Ing. urgencia</t>
        </is>
      </c>
      <c r="E6" s="6" t="inlineStr">
        <is>
          <t>Ing. hospitalizacion</t>
        </is>
      </c>
      <c r="F6" s="6" t="inlineStr">
        <is>
          <t>Ing. ambulatorio</t>
        </is>
      </c>
      <c r="G6" s="6" t="inlineStr">
        <is>
          <t>Ing. ley urgencia</t>
        </is>
      </c>
      <c r="H6" s="6" t="inlineStr">
        <is>
          <t>Ing. UGCC</t>
        </is>
      </c>
      <c r="I6" s="6" t="inlineStr">
        <is>
          <t>Ing. por traslado</t>
        </is>
      </c>
      <c r="J6" s="6" t="inlineStr">
        <is>
          <t>Total ingresos</t>
        </is>
      </c>
      <c r="K6" s="6" t="inlineStr">
        <is>
          <t>Egr. alta hogar / otro hosp.</t>
        </is>
      </c>
      <c r="L6" s="6" t="inlineStr">
        <is>
          <t>Egr. traslado a otro servicio</t>
        </is>
      </c>
      <c r="M6" s="6" t="inlineStr">
        <is>
          <t>Egr. fallecidos</t>
        </is>
      </c>
      <c r="N6" s="6" t="inlineStr">
        <is>
          <t>Total egresos</t>
        </is>
      </c>
      <c r="O6" s="6" t="inlineStr">
        <is>
          <t>Ingr.-egr. mismo dia</t>
        </is>
      </c>
      <c r="P6" s="6" t="inlineStr">
        <is>
          <t>Dias cama disponibles</t>
        </is>
      </c>
      <c r="Q6" s="6" t="inlineStr">
        <is>
          <t>Dias cama ocupadas</t>
        </is>
      </c>
      <c r="R6" s="6" t="inlineStr">
        <is>
          <t>Dias estada total</t>
        </is>
      </c>
      <c r="S6" s="6" t="inlineStr">
        <is>
          <t>Dias estada benef.</t>
        </is>
      </c>
      <c r="U6" s="5" t="inlineStr">
        <is>
          <t>Dias con total ingresos manualmente alterado</t>
        </is>
      </c>
      <c r="V6" s="4" t="inlineStr">
        <is>
          <t>0</t>
        </is>
      </c>
    </row>
    <row r="7" ht="20" customHeight="1">
      <c r="A7" s="4">
        <f>DATE(2025,5,1)</f>
        <v/>
      </c>
      <c r="B7" s="4" t="n">
        <v>1</v>
      </c>
      <c r="C7" s="3" t="n"/>
      <c r="D7" s="3" t="n"/>
      <c r="E7" s="3" t="n"/>
      <c r="F7" s="3" t="n"/>
      <c r="G7" s="3" t="n"/>
      <c r="H7" s="3" t="n"/>
      <c r="I7" s="3" t="n"/>
      <c r="J7" s="4">
        <f>SUM(D7:H7)+I7</f>
        <v/>
      </c>
      <c r="K7" s="3" t="n"/>
      <c r="L7" s="3" t="n"/>
      <c r="M7" s="3" t="n"/>
      <c r="N7" s="4">
        <f>SUM(K7:M7)</f>
        <v/>
      </c>
      <c r="O7" s="3" t="n"/>
      <c r="P7" s="3">
        <f>00_PARAMETROS!B5</f>
        <v/>
      </c>
      <c r="Q7" s="4">
        <f>C7+J7-N7</f>
        <v/>
      </c>
      <c r="R7" s="3" t="n"/>
      <c r="S7" s="3" t="n"/>
      <c r="U7" s="5" t="inlineStr">
        <is>
          <t>Dias con total egresos manualmente alterado</t>
        </is>
      </c>
      <c r="V7" s="4" t="inlineStr">
        <is>
          <t>0</t>
        </is>
      </c>
    </row>
    <row r="8" ht="20" customHeight="1">
      <c r="A8" s="4">
        <f>DATE(2025,5,2)</f>
        <v/>
      </c>
      <c r="B8" s="4" t="n">
        <v>2</v>
      </c>
      <c r="C8" s="4">
        <f>Q7</f>
        <v/>
      </c>
      <c r="D8" s="3" t="n"/>
      <c r="E8" s="3" t="n"/>
      <c r="F8" s="3" t="n"/>
      <c r="G8" s="3" t="n"/>
      <c r="H8" s="3" t="n"/>
      <c r="I8" s="3" t="n"/>
      <c r="J8" s="4">
        <f>SUM(D8:H8)+I8</f>
        <v/>
      </c>
      <c r="K8" s="3" t="n"/>
      <c r="L8" s="3" t="n"/>
      <c r="M8" s="3" t="n"/>
      <c r="N8" s="4">
        <f>SUM(K8:M8)</f>
        <v/>
      </c>
      <c r="O8" s="3" t="n"/>
      <c r="P8" s="3">
        <f>00_PARAMETROS!B5</f>
        <v/>
      </c>
      <c r="Q8" s="4">
        <f>C8+J8-N8</f>
        <v/>
      </c>
      <c r="R8" s="3" t="n"/>
      <c r="S8" s="3" t="n"/>
    </row>
    <row r="9" ht="20" customHeight="1">
      <c r="A9" s="4">
        <f>DATE(2025,5,3)</f>
        <v/>
      </c>
      <c r="B9" s="4" t="n">
        <v>3</v>
      </c>
      <c r="C9" s="4">
        <f>Q8</f>
        <v/>
      </c>
      <c r="D9" s="3" t="n"/>
      <c r="E9" s="3" t="n"/>
      <c r="F9" s="3" t="n"/>
      <c r="G9" s="3" t="n"/>
      <c r="H9" s="3" t="n"/>
      <c r="I9" s="3" t="n"/>
      <c r="J9" s="4">
        <f>SUM(D9:H9)+I9</f>
        <v/>
      </c>
      <c r="K9" s="3" t="n"/>
      <c r="L9" s="3" t="n"/>
      <c r="M9" s="3" t="n"/>
      <c r="N9" s="4">
        <f>SUM(K9:M9)</f>
        <v/>
      </c>
      <c r="O9" s="3" t="n"/>
      <c r="P9" s="3">
        <f>00_PARAMETROS!B5</f>
        <v/>
      </c>
      <c r="Q9" s="4">
        <f>C9+J9-N9</f>
        <v/>
      </c>
      <c r="R9" s="3" t="n"/>
      <c r="S9" s="3" t="n"/>
    </row>
    <row r="10" ht="20" customHeight="1">
      <c r="A10" s="4">
        <f>DATE(2025,5,4)</f>
        <v/>
      </c>
      <c r="B10" s="4" t="n">
        <v>4</v>
      </c>
      <c r="C10" s="4">
        <f>Q9</f>
        <v/>
      </c>
      <c r="D10" s="3" t="n"/>
      <c r="E10" s="3" t="n"/>
      <c r="F10" s="3" t="n"/>
      <c r="G10" s="3" t="n"/>
      <c r="H10" s="3" t="n"/>
      <c r="I10" s="3" t="n"/>
      <c r="J10" s="4">
        <f>SUM(D10:H10)+I10</f>
        <v/>
      </c>
      <c r="K10" s="3" t="n"/>
      <c r="L10" s="3" t="n"/>
      <c r="M10" s="3" t="n"/>
      <c r="N10" s="4">
        <f>SUM(K10:M10)</f>
        <v/>
      </c>
      <c r="O10" s="3" t="n"/>
      <c r="P10" s="3">
        <f>00_PARAMETROS!B5</f>
        <v/>
      </c>
      <c r="Q10" s="4">
        <f>C10+J10-N10</f>
        <v/>
      </c>
      <c r="R10" s="3" t="n"/>
      <c r="S10" s="3" t="n"/>
    </row>
    <row r="11" ht="20" customHeight="1">
      <c r="A11" s="4">
        <f>DATE(2025,5,5)</f>
        <v/>
      </c>
      <c r="B11" s="4" t="n">
        <v>5</v>
      </c>
      <c r="C11" s="4">
        <f>Q10</f>
        <v/>
      </c>
      <c r="D11" s="3" t="n"/>
      <c r="E11" s="3" t="n"/>
      <c r="F11" s="3" t="n"/>
      <c r="G11" s="3" t="n"/>
      <c r="H11" s="3" t="n"/>
      <c r="I11" s="3" t="n"/>
      <c r="J11" s="4">
        <f>SUM(D11:H11)+I11</f>
        <v/>
      </c>
      <c r="K11" s="3" t="n"/>
      <c r="L11" s="3" t="n"/>
      <c r="M11" s="3" t="n"/>
      <c r="N11" s="4">
        <f>SUM(K11:M11)</f>
        <v/>
      </c>
      <c r="O11" s="3" t="n"/>
      <c r="P11" s="3">
        <f>00_PARAMETROS!B5</f>
        <v/>
      </c>
      <c r="Q11" s="4">
        <f>C11+J11-N11</f>
        <v/>
      </c>
      <c r="R11" s="3" t="n"/>
      <c r="S11" s="3" t="n"/>
    </row>
    <row r="12" ht="20" customHeight="1">
      <c r="A12" s="4">
        <f>DATE(2025,5,6)</f>
        <v/>
      </c>
      <c r="B12" s="4" t="n">
        <v>6</v>
      </c>
      <c r="C12" s="4">
        <f>Q11</f>
        <v/>
      </c>
      <c r="D12" s="3" t="n"/>
      <c r="E12" s="3" t="n"/>
      <c r="F12" s="3" t="n"/>
      <c r="G12" s="3" t="n"/>
      <c r="H12" s="3" t="n"/>
      <c r="I12" s="3" t="n"/>
      <c r="J12" s="4">
        <f>SUM(D12:H12)+I12</f>
        <v/>
      </c>
      <c r="K12" s="3" t="n"/>
      <c r="L12" s="3" t="n"/>
      <c r="M12" s="3" t="n"/>
      <c r="N12" s="4">
        <f>SUM(K12:M12)</f>
        <v/>
      </c>
      <c r="O12" s="3" t="n"/>
      <c r="P12" s="3">
        <f>00_PARAMETROS!B5</f>
        <v/>
      </c>
      <c r="Q12" s="4">
        <f>C12+J12-N12</f>
        <v/>
      </c>
      <c r="R12" s="3" t="n"/>
      <c r="S12" s="3" t="n"/>
    </row>
    <row r="13" ht="20" customHeight="1">
      <c r="A13" s="4">
        <f>DATE(2025,5,7)</f>
        <v/>
      </c>
      <c r="B13" s="4" t="n">
        <v>7</v>
      </c>
      <c r="C13" s="4">
        <f>Q12</f>
        <v/>
      </c>
      <c r="D13" s="3" t="n"/>
      <c r="E13" s="3" t="n"/>
      <c r="F13" s="3" t="n"/>
      <c r="G13" s="3" t="n"/>
      <c r="H13" s="3" t="n"/>
      <c r="I13" s="3" t="n"/>
      <c r="J13" s="4">
        <f>SUM(D13:H13)+I13</f>
        <v/>
      </c>
      <c r="K13" s="3" t="n"/>
      <c r="L13" s="3" t="n"/>
      <c r="M13" s="3" t="n"/>
      <c r="N13" s="4">
        <f>SUM(K13:M13)</f>
        <v/>
      </c>
      <c r="O13" s="3" t="n"/>
      <c r="P13" s="3">
        <f>00_PARAMETROS!B5</f>
        <v/>
      </c>
      <c r="Q13" s="4">
        <f>C13+J13-N13</f>
        <v/>
      </c>
      <c r="R13" s="3" t="n"/>
      <c r="S13" s="3" t="n"/>
    </row>
    <row r="14" ht="20" customHeight="1">
      <c r="A14" s="4">
        <f>DATE(2025,5,8)</f>
        <v/>
      </c>
      <c r="B14" s="4" t="n">
        <v>8</v>
      </c>
      <c r="C14" s="4">
        <f>Q13</f>
        <v/>
      </c>
      <c r="D14" s="3" t="n"/>
      <c r="E14" s="3" t="n"/>
      <c r="F14" s="3" t="n"/>
      <c r="G14" s="3" t="n"/>
      <c r="H14" s="3" t="n"/>
      <c r="I14" s="3" t="n"/>
      <c r="J14" s="4">
        <f>SUM(D14:H14)+I14</f>
        <v/>
      </c>
      <c r="K14" s="3" t="n"/>
      <c r="L14" s="3" t="n"/>
      <c r="M14" s="3" t="n"/>
      <c r="N14" s="4">
        <f>SUM(K14:M14)</f>
        <v/>
      </c>
      <c r="O14" s="3" t="n"/>
      <c r="P14" s="3">
        <f>00_PARAMETROS!B5</f>
        <v/>
      </c>
      <c r="Q14" s="4">
        <f>C14+J14-N14</f>
        <v/>
      </c>
      <c r="R14" s="3" t="n"/>
      <c r="S14" s="3" t="n"/>
    </row>
    <row r="15" ht="20" customHeight="1">
      <c r="A15" s="4">
        <f>DATE(2025,5,9)</f>
        <v/>
      </c>
      <c r="B15" s="4" t="n">
        <v>9</v>
      </c>
      <c r="C15" s="4">
        <f>Q14</f>
        <v/>
      </c>
      <c r="D15" s="3" t="n"/>
      <c r="E15" s="3" t="n"/>
      <c r="F15" s="3" t="n"/>
      <c r="G15" s="3" t="n"/>
      <c r="H15" s="3" t="n"/>
      <c r="I15" s="3" t="n"/>
      <c r="J15" s="4">
        <f>SUM(D15:H15)+I15</f>
        <v/>
      </c>
      <c r="K15" s="3" t="n"/>
      <c r="L15" s="3" t="n"/>
      <c r="M15" s="3" t="n"/>
      <c r="N15" s="4">
        <f>SUM(K15:M15)</f>
        <v/>
      </c>
      <c r="O15" s="3" t="n"/>
      <c r="P15" s="3">
        <f>00_PARAMETROS!B5</f>
        <v/>
      </c>
      <c r="Q15" s="4">
        <f>C15+J15-N15</f>
        <v/>
      </c>
      <c r="R15" s="3" t="n"/>
      <c r="S15" s="3" t="n"/>
    </row>
    <row r="16" ht="20" customHeight="1">
      <c r="A16" s="4">
        <f>DATE(2025,5,10)</f>
        <v/>
      </c>
      <c r="B16" s="4" t="n">
        <v>10</v>
      </c>
      <c r="C16" s="4">
        <f>Q15</f>
        <v/>
      </c>
      <c r="D16" s="3" t="n"/>
      <c r="E16" s="3" t="n"/>
      <c r="F16" s="3" t="n"/>
      <c r="G16" s="3" t="n"/>
      <c r="H16" s="3" t="n"/>
      <c r="I16" s="3" t="n"/>
      <c r="J16" s="4">
        <f>SUM(D16:H16)+I16</f>
        <v/>
      </c>
      <c r="K16" s="3" t="n"/>
      <c r="L16" s="3" t="n"/>
      <c r="M16" s="3" t="n"/>
      <c r="N16" s="4">
        <f>SUM(K16:M16)</f>
        <v/>
      </c>
      <c r="O16" s="3" t="n"/>
      <c r="P16" s="3">
        <f>00_PARAMETROS!B5</f>
        <v/>
      </c>
      <c r="Q16" s="4">
        <f>C16+J16-N16</f>
        <v/>
      </c>
      <c r="R16" s="3" t="n"/>
      <c r="S16" s="3" t="n"/>
    </row>
    <row r="17" ht="20" customHeight="1">
      <c r="A17" s="4">
        <f>DATE(2025,5,11)</f>
        <v/>
      </c>
      <c r="B17" s="4" t="n">
        <v>11</v>
      </c>
      <c r="C17" s="4">
        <f>Q16</f>
        <v/>
      </c>
      <c r="D17" s="3" t="n"/>
      <c r="E17" s="3" t="n"/>
      <c r="F17" s="3" t="n"/>
      <c r="G17" s="3" t="n"/>
      <c r="H17" s="3" t="n"/>
      <c r="I17" s="3" t="n"/>
      <c r="J17" s="4">
        <f>SUM(D17:H17)+I17</f>
        <v/>
      </c>
      <c r="K17" s="3" t="n"/>
      <c r="L17" s="3" t="n"/>
      <c r="M17" s="3" t="n"/>
      <c r="N17" s="4">
        <f>SUM(K17:M17)</f>
        <v/>
      </c>
      <c r="O17" s="3" t="n"/>
      <c r="P17" s="3">
        <f>00_PARAMETROS!B5</f>
        <v/>
      </c>
      <c r="Q17" s="4">
        <f>C17+J17-N17</f>
        <v/>
      </c>
      <c r="R17" s="3" t="n"/>
      <c r="S17" s="3" t="n"/>
    </row>
    <row r="18" ht="20" customHeight="1">
      <c r="A18" s="4">
        <f>DATE(2025,5,12)</f>
        <v/>
      </c>
      <c r="B18" s="4" t="n">
        <v>12</v>
      </c>
      <c r="C18" s="4">
        <f>Q17</f>
        <v/>
      </c>
      <c r="D18" s="3" t="n"/>
      <c r="E18" s="3" t="n"/>
      <c r="F18" s="3" t="n"/>
      <c r="G18" s="3" t="n"/>
      <c r="H18" s="3" t="n"/>
      <c r="I18" s="3" t="n"/>
      <c r="J18" s="4">
        <f>SUM(D18:H18)+I18</f>
        <v/>
      </c>
      <c r="K18" s="3" t="n"/>
      <c r="L18" s="3" t="n"/>
      <c r="M18" s="3" t="n"/>
      <c r="N18" s="4">
        <f>SUM(K18:M18)</f>
        <v/>
      </c>
      <c r="O18" s="3" t="n"/>
      <c r="P18" s="3">
        <f>00_PARAMETROS!B5</f>
        <v/>
      </c>
      <c r="Q18" s="4">
        <f>C18+J18-N18</f>
        <v/>
      </c>
      <c r="R18" s="3" t="n"/>
      <c r="S18" s="3" t="n"/>
    </row>
    <row r="19" ht="20" customHeight="1">
      <c r="A19" s="4">
        <f>DATE(2025,5,13)</f>
        <v/>
      </c>
      <c r="B19" s="4" t="n">
        <v>13</v>
      </c>
      <c r="C19" s="4">
        <f>Q18</f>
        <v/>
      </c>
      <c r="D19" s="3" t="n"/>
      <c r="E19" s="3" t="n"/>
      <c r="F19" s="3" t="n"/>
      <c r="G19" s="3" t="n"/>
      <c r="H19" s="3" t="n"/>
      <c r="I19" s="3" t="n"/>
      <c r="J19" s="4">
        <f>SUM(D19:H19)+I19</f>
        <v/>
      </c>
      <c r="K19" s="3" t="n"/>
      <c r="L19" s="3" t="n"/>
      <c r="M19" s="3" t="n"/>
      <c r="N19" s="4">
        <f>SUM(K19:M19)</f>
        <v/>
      </c>
      <c r="O19" s="3" t="n"/>
      <c r="P19" s="3">
        <f>00_PARAMETROS!B5</f>
        <v/>
      </c>
      <c r="Q19" s="4">
        <f>C19+J19-N19</f>
        <v/>
      </c>
      <c r="R19" s="3" t="n"/>
      <c r="S19" s="3" t="n"/>
    </row>
    <row r="20" ht="20" customHeight="1">
      <c r="A20" s="4">
        <f>DATE(2025,5,14)</f>
        <v/>
      </c>
      <c r="B20" s="4" t="n">
        <v>14</v>
      </c>
      <c r="C20" s="4">
        <f>Q19</f>
        <v/>
      </c>
      <c r="D20" s="3" t="n"/>
      <c r="E20" s="3" t="n"/>
      <c r="F20" s="3" t="n"/>
      <c r="G20" s="3" t="n"/>
      <c r="H20" s="3" t="n"/>
      <c r="I20" s="3" t="n"/>
      <c r="J20" s="4">
        <f>SUM(D20:H20)+I20</f>
        <v/>
      </c>
      <c r="K20" s="3" t="n"/>
      <c r="L20" s="3" t="n"/>
      <c r="M20" s="3" t="n"/>
      <c r="N20" s="4">
        <f>SUM(K20:M20)</f>
        <v/>
      </c>
      <c r="O20" s="3" t="n"/>
      <c r="P20" s="3">
        <f>00_PARAMETROS!B5</f>
        <v/>
      </c>
      <c r="Q20" s="4">
        <f>C20+J20-N20</f>
        <v/>
      </c>
      <c r="R20" s="3" t="n"/>
      <c r="S20" s="3" t="n"/>
    </row>
    <row r="21" ht="20" customHeight="1">
      <c r="A21" s="4">
        <f>DATE(2025,5,15)</f>
        <v/>
      </c>
      <c r="B21" s="4" t="n">
        <v>15</v>
      </c>
      <c r="C21" s="4">
        <f>Q20</f>
        <v/>
      </c>
      <c r="D21" s="3" t="n"/>
      <c r="E21" s="3" t="n"/>
      <c r="F21" s="3" t="n"/>
      <c r="G21" s="3" t="n"/>
      <c r="H21" s="3" t="n"/>
      <c r="I21" s="3" t="n"/>
      <c r="J21" s="4">
        <f>SUM(D21:H21)+I21</f>
        <v/>
      </c>
      <c r="K21" s="3" t="n"/>
      <c r="L21" s="3" t="n"/>
      <c r="M21" s="3" t="n"/>
      <c r="N21" s="4">
        <f>SUM(K21:M21)</f>
        <v/>
      </c>
      <c r="O21" s="3" t="n"/>
      <c r="P21" s="3">
        <f>00_PARAMETROS!B5</f>
        <v/>
      </c>
      <c r="Q21" s="4">
        <f>C21+J21-N21</f>
        <v/>
      </c>
      <c r="R21" s="3" t="n"/>
      <c r="S21" s="3" t="n"/>
    </row>
    <row r="22" ht="20" customHeight="1">
      <c r="A22" s="4">
        <f>DATE(2025,5,16)</f>
        <v/>
      </c>
      <c r="B22" s="4" t="n">
        <v>16</v>
      </c>
      <c r="C22" s="4">
        <f>Q21</f>
        <v/>
      </c>
      <c r="D22" s="3" t="n"/>
      <c r="E22" s="3" t="n"/>
      <c r="F22" s="3" t="n"/>
      <c r="G22" s="3" t="n"/>
      <c r="H22" s="3" t="n"/>
      <c r="I22" s="3" t="n"/>
      <c r="J22" s="4">
        <f>SUM(D22:H22)+I22</f>
        <v/>
      </c>
      <c r="K22" s="3" t="n"/>
      <c r="L22" s="3" t="n"/>
      <c r="M22" s="3" t="n"/>
      <c r="N22" s="4">
        <f>SUM(K22:M22)</f>
        <v/>
      </c>
      <c r="O22" s="3" t="n"/>
      <c r="P22" s="3">
        <f>00_PARAMETROS!B5</f>
        <v/>
      </c>
      <c r="Q22" s="4">
        <f>C22+J22-N22</f>
        <v/>
      </c>
      <c r="R22" s="3" t="n"/>
      <c r="S22" s="3" t="n"/>
    </row>
    <row r="23" ht="20" customHeight="1">
      <c r="A23" s="4">
        <f>DATE(2025,5,17)</f>
        <v/>
      </c>
      <c r="B23" s="4" t="n">
        <v>17</v>
      </c>
      <c r="C23" s="4">
        <f>Q22</f>
        <v/>
      </c>
      <c r="D23" s="3" t="n"/>
      <c r="E23" s="3" t="n"/>
      <c r="F23" s="3" t="n"/>
      <c r="G23" s="3" t="n"/>
      <c r="H23" s="3" t="n"/>
      <c r="I23" s="3" t="n"/>
      <c r="J23" s="4">
        <f>SUM(D23:H23)+I23</f>
        <v/>
      </c>
      <c r="K23" s="3" t="n"/>
      <c r="L23" s="3" t="n"/>
      <c r="M23" s="3" t="n"/>
      <c r="N23" s="4">
        <f>SUM(K23:M23)</f>
        <v/>
      </c>
      <c r="O23" s="3" t="n"/>
      <c r="P23" s="3">
        <f>00_PARAMETROS!B5</f>
        <v/>
      </c>
      <c r="Q23" s="4">
        <f>C23+J23-N23</f>
        <v/>
      </c>
      <c r="R23" s="3" t="n"/>
      <c r="S23" s="3" t="n"/>
    </row>
    <row r="24" ht="20" customHeight="1">
      <c r="A24" s="4">
        <f>DATE(2025,5,18)</f>
        <v/>
      </c>
      <c r="B24" s="4" t="n">
        <v>18</v>
      </c>
      <c r="C24" s="4">
        <f>Q23</f>
        <v/>
      </c>
      <c r="D24" s="3" t="n"/>
      <c r="E24" s="3" t="n"/>
      <c r="F24" s="3" t="n"/>
      <c r="G24" s="3" t="n"/>
      <c r="H24" s="3" t="n"/>
      <c r="I24" s="3" t="n"/>
      <c r="J24" s="4">
        <f>SUM(D24:H24)+I24</f>
        <v/>
      </c>
      <c r="K24" s="3" t="n"/>
      <c r="L24" s="3" t="n"/>
      <c r="M24" s="3" t="n"/>
      <c r="N24" s="4">
        <f>SUM(K24:M24)</f>
        <v/>
      </c>
      <c r="O24" s="3" t="n"/>
      <c r="P24" s="3">
        <f>00_PARAMETROS!B5</f>
        <v/>
      </c>
      <c r="Q24" s="4">
        <f>C24+J24-N24</f>
        <v/>
      </c>
      <c r="R24" s="3" t="n"/>
      <c r="S24" s="3" t="n"/>
    </row>
    <row r="25" ht="20" customHeight="1">
      <c r="A25" s="4">
        <f>DATE(2025,5,19)</f>
        <v/>
      </c>
      <c r="B25" s="4" t="n">
        <v>19</v>
      </c>
      <c r="C25" s="4">
        <f>Q24</f>
        <v/>
      </c>
      <c r="D25" s="3" t="n"/>
      <c r="E25" s="3" t="n"/>
      <c r="F25" s="3" t="n"/>
      <c r="G25" s="3" t="n"/>
      <c r="H25" s="3" t="n"/>
      <c r="I25" s="3" t="n"/>
      <c r="J25" s="4">
        <f>SUM(D25:H25)+I25</f>
        <v/>
      </c>
      <c r="K25" s="3" t="n"/>
      <c r="L25" s="3" t="n"/>
      <c r="M25" s="3" t="n"/>
      <c r="N25" s="4">
        <f>SUM(K25:M25)</f>
        <v/>
      </c>
      <c r="O25" s="3" t="n"/>
      <c r="P25" s="3">
        <f>00_PARAMETROS!B5</f>
        <v/>
      </c>
      <c r="Q25" s="4">
        <f>C25+J25-N25</f>
        <v/>
      </c>
      <c r="R25" s="3" t="n"/>
      <c r="S25" s="3" t="n"/>
    </row>
    <row r="26" ht="20" customHeight="1">
      <c r="A26" s="4">
        <f>DATE(2025,5,20)</f>
        <v/>
      </c>
      <c r="B26" s="4" t="n">
        <v>20</v>
      </c>
      <c r="C26" s="4">
        <f>Q25</f>
        <v/>
      </c>
      <c r="D26" s="3" t="n"/>
      <c r="E26" s="3" t="n"/>
      <c r="F26" s="3" t="n"/>
      <c r="G26" s="3" t="n"/>
      <c r="H26" s="3" t="n"/>
      <c r="I26" s="3" t="n"/>
      <c r="J26" s="4">
        <f>SUM(D26:H26)+I26</f>
        <v/>
      </c>
      <c r="K26" s="3" t="n"/>
      <c r="L26" s="3" t="n"/>
      <c r="M26" s="3" t="n"/>
      <c r="N26" s="4">
        <f>SUM(K26:M26)</f>
        <v/>
      </c>
      <c r="O26" s="3" t="n"/>
      <c r="P26" s="3">
        <f>00_PARAMETROS!B5</f>
        <v/>
      </c>
      <c r="Q26" s="4">
        <f>C26+J26-N26</f>
        <v/>
      </c>
      <c r="R26" s="3" t="n"/>
      <c r="S26" s="3" t="n"/>
    </row>
    <row r="27" ht="20" customHeight="1">
      <c r="A27" s="4">
        <f>DATE(2025,5,21)</f>
        <v/>
      </c>
      <c r="B27" s="4" t="n">
        <v>21</v>
      </c>
      <c r="C27" s="4">
        <f>Q26</f>
        <v/>
      </c>
      <c r="D27" s="3" t="n"/>
      <c r="E27" s="3" t="n"/>
      <c r="F27" s="3" t="n"/>
      <c r="G27" s="3" t="n"/>
      <c r="H27" s="3" t="n"/>
      <c r="I27" s="3" t="n"/>
      <c r="J27" s="4">
        <f>SUM(D27:H27)+I27</f>
        <v/>
      </c>
      <c r="K27" s="3" t="n"/>
      <c r="L27" s="3" t="n"/>
      <c r="M27" s="3" t="n"/>
      <c r="N27" s="4">
        <f>SUM(K27:M27)</f>
        <v/>
      </c>
      <c r="O27" s="3" t="n"/>
      <c r="P27" s="3">
        <f>00_PARAMETROS!B5</f>
        <v/>
      </c>
      <c r="Q27" s="4">
        <f>C27+J27-N27</f>
        <v/>
      </c>
      <c r="R27" s="3" t="n"/>
      <c r="S27" s="3" t="n"/>
    </row>
    <row r="28" ht="20" customHeight="1">
      <c r="A28" s="4">
        <f>DATE(2025,5,22)</f>
        <v/>
      </c>
      <c r="B28" s="4" t="n">
        <v>22</v>
      </c>
      <c r="C28" s="4">
        <f>Q27</f>
        <v/>
      </c>
      <c r="D28" s="3" t="n"/>
      <c r="E28" s="3" t="n"/>
      <c r="F28" s="3" t="n"/>
      <c r="G28" s="3" t="n"/>
      <c r="H28" s="3" t="n"/>
      <c r="I28" s="3" t="n"/>
      <c r="J28" s="4">
        <f>SUM(D28:H28)+I28</f>
        <v/>
      </c>
      <c r="K28" s="3" t="n"/>
      <c r="L28" s="3" t="n"/>
      <c r="M28" s="3" t="n"/>
      <c r="N28" s="4">
        <f>SUM(K28:M28)</f>
        <v/>
      </c>
      <c r="O28" s="3" t="n"/>
      <c r="P28" s="3">
        <f>00_PARAMETROS!B5</f>
        <v/>
      </c>
      <c r="Q28" s="4">
        <f>C28+J28-N28</f>
        <v/>
      </c>
      <c r="R28" s="3" t="n"/>
      <c r="S28" s="3" t="n"/>
    </row>
    <row r="29" ht="20" customHeight="1">
      <c r="A29" s="4">
        <f>DATE(2025,5,23)</f>
        <v/>
      </c>
      <c r="B29" s="4" t="n">
        <v>23</v>
      </c>
      <c r="C29" s="4">
        <f>Q28</f>
        <v/>
      </c>
      <c r="D29" s="3" t="n"/>
      <c r="E29" s="3" t="n"/>
      <c r="F29" s="3" t="n"/>
      <c r="G29" s="3" t="n"/>
      <c r="H29" s="3" t="n"/>
      <c r="I29" s="3" t="n"/>
      <c r="J29" s="4">
        <f>SUM(D29:H29)+I29</f>
        <v/>
      </c>
      <c r="K29" s="3" t="n"/>
      <c r="L29" s="3" t="n"/>
      <c r="M29" s="3" t="n"/>
      <c r="N29" s="4">
        <f>SUM(K29:M29)</f>
        <v/>
      </c>
      <c r="O29" s="3" t="n"/>
      <c r="P29" s="3">
        <f>00_PARAMETROS!B5</f>
        <v/>
      </c>
      <c r="Q29" s="4">
        <f>C29+J29-N29</f>
        <v/>
      </c>
      <c r="R29" s="3" t="n"/>
      <c r="S29" s="3" t="n"/>
    </row>
    <row r="30" ht="20" customHeight="1">
      <c r="A30" s="4">
        <f>DATE(2025,5,24)</f>
        <v/>
      </c>
      <c r="B30" s="4" t="n">
        <v>24</v>
      </c>
      <c r="C30" s="4">
        <f>Q29</f>
        <v/>
      </c>
      <c r="D30" s="3" t="n"/>
      <c r="E30" s="3" t="n"/>
      <c r="F30" s="3" t="n"/>
      <c r="G30" s="3" t="n"/>
      <c r="H30" s="3" t="n"/>
      <c r="I30" s="3" t="n"/>
      <c r="J30" s="4">
        <f>SUM(D30:H30)+I30</f>
        <v/>
      </c>
      <c r="K30" s="3" t="n"/>
      <c r="L30" s="3" t="n"/>
      <c r="M30" s="3" t="n"/>
      <c r="N30" s="4">
        <f>SUM(K30:M30)</f>
        <v/>
      </c>
      <c r="O30" s="3" t="n"/>
      <c r="P30" s="3">
        <f>00_PARAMETROS!B5</f>
        <v/>
      </c>
      <c r="Q30" s="4">
        <f>C30+J30-N30</f>
        <v/>
      </c>
      <c r="R30" s="3" t="n"/>
      <c r="S30" s="3" t="n"/>
    </row>
    <row r="31" ht="20" customHeight="1">
      <c r="A31" s="4">
        <f>DATE(2025,5,25)</f>
        <v/>
      </c>
      <c r="B31" s="4" t="n">
        <v>25</v>
      </c>
      <c r="C31" s="4">
        <f>Q30</f>
        <v/>
      </c>
      <c r="D31" s="3" t="n"/>
      <c r="E31" s="3" t="n"/>
      <c r="F31" s="3" t="n"/>
      <c r="G31" s="3" t="n"/>
      <c r="H31" s="3" t="n"/>
      <c r="I31" s="3" t="n"/>
      <c r="J31" s="4">
        <f>SUM(D31:H31)+I31</f>
        <v/>
      </c>
      <c r="K31" s="3" t="n"/>
      <c r="L31" s="3" t="n"/>
      <c r="M31" s="3" t="n"/>
      <c r="N31" s="4">
        <f>SUM(K31:M31)</f>
        <v/>
      </c>
      <c r="O31" s="3" t="n"/>
      <c r="P31" s="3">
        <f>00_PARAMETROS!B5</f>
        <v/>
      </c>
      <c r="Q31" s="4">
        <f>C31+J31-N31</f>
        <v/>
      </c>
      <c r="R31" s="3" t="n"/>
      <c r="S31" s="3" t="n"/>
    </row>
    <row r="32" ht="20" customHeight="1">
      <c r="A32" s="4">
        <f>DATE(2025,5,26)</f>
        <v/>
      </c>
      <c r="B32" s="4" t="n">
        <v>26</v>
      </c>
      <c r="C32" s="4">
        <f>Q31</f>
        <v/>
      </c>
      <c r="D32" s="3" t="n"/>
      <c r="E32" s="3" t="n"/>
      <c r="F32" s="3" t="n"/>
      <c r="G32" s="3" t="n"/>
      <c r="H32" s="3" t="n"/>
      <c r="I32" s="3" t="n"/>
      <c r="J32" s="4">
        <f>SUM(D32:H32)+I32</f>
        <v/>
      </c>
      <c r="K32" s="3" t="n"/>
      <c r="L32" s="3" t="n"/>
      <c r="M32" s="3" t="n"/>
      <c r="N32" s="4">
        <f>SUM(K32:M32)</f>
        <v/>
      </c>
      <c r="O32" s="3" t="n"/>
      <c r="P32" s="3">
        <f>00_PARAMETROS!B5</f>
        <v/>
      </c>
      <c r="Q32" s="4">
        <f>C32+J32-N32</f>
        <v/>
      </c>
      <c r="R32" s="3" t="n"/>
      <c r="S32" s="3" t="n"/>
    </row>
    <row r="33" ht="20" customHeight="1">
      <c r="A33" s="4">
        <f>DATE(2025,5,27)</f>
        <v/>
      </c>
      <c r="B33" s="4" t="n">
        <v>27</v>
      </c>
      <c r="C33" s="4">
        <f>Q32</f>
        <v/>
      </c>
      <c r="D33" s="3" t="n"/>
      <c r="E33" s="3" t="n"/>
      <c r="F33" s="3" t="n"/>
      <c r="G33" s="3" t="n"/>
      <c r="H33" s="3" t="n"/>
      <c r="I33" s="3" t="n"/>
      <c r="J33" s="4">
        <f>SUM(D33:H33)+I33</f>
        <v/>
      </c>
      <c r="K33" s="3" t="n"/>
      <c r="L33" s="3" t="n"/>
      <c r="M33" s="3" t="n"/>
      <c r="N33" s="4">
        <f>SUM(K33:M33)</f>
        <v/>
      </c>
      <c r="O33" s="3" t="n"/>
      <c r="P33" s="3">
        <f>00_PARAMETROS!B5</f>
        <v/>
      </c>
      <c r="Q33" s="4">
        <f>C33+J33-N33</f>
        <v/>
      </c>
      <c r="R33" s="3" t="n"/>
      <c r="S33" s="3" t="n"/>
    </row>
    <row r="34" ht="20" customHeight="1">
      <c r="A34" s="4">
        <f>DATE(2025,5,28)</f>
        <v/>
      </c>
      <c r="B34" s="4" t="n">
        <v>28</v>
      </c>
      <c r="C34" s="4">
        <f>Q33</f>
        <v/>
      </c>
      <c r="D34" s="3" t="n"/>
      <c r="E34" s="3" t="n"/>
      <c r="F34" s="3" t="n"/>
      <c r="G34" s="3" t="n"/>
      <c r="H34" s="3" t="n"/>
      <c r="I34" s="3" t="n"/>
      <c r="J34" s="4">
        <f>SUM(D34:H34)+I34</f>
        <v/>
      </c>
      <c r="K34" s="3" t="n"/>
      <c r="L34" s="3" t="n"/>
      <c r="M34" s="3" t="n"/>
      <c r="N34" s="4">
        <f>SUM(K34:M34)</f>
        <v/>
      </c>
      <c r="O34" s="3" t="n"/>
      <c r="P34" s="3">
        <f>00_PARAMETROS!B5</f>
        <v/>
      </c>
      <c r="Q34" s="4">
        <f>C34+J34-N34</f>
        <v/>
      </c>
      <c r="R34" s="3" t="n"/>
      <c r="S34" s="3" t="n"/>
    </row>
    <row r="35" ht="20" customHeight="1">
      <c r="A35" s="4">
        <f>DATE(2025,5,29)</f>
        <v/>
      </c>
      <c r="B35" s="4" t="n">
        <v>29</v>
      </c>
      <c r="C35" s="4">
        <f>Q34</f>
        <v/>
      </c>
      <c r="D35" s="3" t="n"/>
      <c r="E35" s="3" t="n"/>
      <c r="F35" s="3" t="n"/>
      <c r="G35" s="3" t="n"/>
      <c r="H35" s="3" t="n"/>
      <c r="I35" s="3" t="n"/>
      <c r="J35" s="4">
        <f>SUM(D35:H35)+I35</f>
        <v/>
      </c>
      <c r="K35" s="3" t="n"/>
      <c r="L35" s="3" t="n"/>
      <c r="M35" s="3" t="n"/>
      <c r="N35" s="4">
        <f>SUM(K35:M35)</f>
        <v/>
      </c>
      <c r="O35" s="3" t="n"/>
      <c r="P35" s="3">
        <f>00_PARAMETROS!B5</f>
        <v/>
      </c>
      <c r="Q35" s="4">
        <f>C35+J35-N35</f>
        <v/>
      </c>
      <c r="R35" s="3" t="n"/>
      <c r="S35" s="3" t="n"/>
    </row>
    <row r="36" ht="20" customHeight="1">
      <c r="A36" s="4">
        <f>DATE(2025,5,30)</f>
        <v/>
      </c>
      <c r="B36" s="4" t="n">
        <v>30</v>
      </c>
      <c r="C36" s="4">
        <f>Q35</f>
        <v/>
      </c>
      <c r="D36" s="3" t="n"/>
      <c r="E36" s="3" t="n"/>
      <c r="F36" s="3" t="n"/>
      <c r="G36" s="3" t="n"/>
      <c r="H36" s="3" t="n"/>
      <c r="I36" s="3" t="n"/>
      <c r="J36" s="4">
        <f>SUM(D36:H36)+I36</f>
        <v/>
      </c>
      <c r="K36" s="3" t="n"/>
      <c r="L36" s="3" t="n"/>
      <c r="M36" s="3" t="n"/>
      <c r="N36" s="4">
        <f>SUM(K36:M36)</f>
        <v/>
      </c>
      <c r="O36" s="3" t="n"/>
      <c r="P36" s="3">
        <f>00_PARAMETROS!B5</f>
        <v/>
      </c>
      <c r="Q36" s="4">
        <f>C36+J36-N36</f>
        <v/>
      </c>
      <c r="R36" s="3" t="n"/>
      <c r="S36" s="3" t="n"/>
    </row>
    <row r="37" ht="20" customHeight="1">
      <c r="A37" s="4">
        <f>DATE(2025,5,31)</f>
        <v/>
      </c>
      <c r="B37" s="4" t="n">
        <v>31</v>
      </c>
      <c r="C37" s="4">
        <f>Q36</f>
        <v/>
      </c>
      <c r="D37" s="3" t="n"/>
      <c r="E37" s="3" t="n"/>
      <c r="F37" s="3" t="n"/>
      <c r="G37" s="3" t="n"/>
      <c r="H37" s="3" t="n"/>
      <c r="I37" s="3" t="n"/>
      <c r="J37" s="4">
        <f>SUM(D37:H37)+I37</f>
        <v/>
      </c>
      <c r="K37" s="3" t="n"/>
      <c r="L37" s="3" t="n"/>
      <c r="M37" s="3" t="n"/>
      <c r="N37" s="4">
        <f>SUM(K37:M37)</f>
        <v/>
      </c>
      <c r="O37" s="3" t="n"/>
      <c r="P37" s="3">
        <f>00_PARAMETROS!B5</f>
        <v/>
      </c>
      <c r="Q37" s="4">
        <f>C37+J37-N37</f>
        <v/>
      </c>
      <c r="R37" s="3" t="n"/>
      <c r="S37" s="3" t="n"/>
    </row>
    <row r="38" ht="20" customHeight="1">
      <c r="A38" s="2" t="inlineStr">
        <is>
          <t>TOTAL</t>
        </is>
      </c>
      <c r="B38" s="7" t="n"/>
      <c r="C38" s="7" t="n"/>
      <c r="D38" s="8">
        <f>SUM(D7:D37)</f>
        <v/>
      </c>
      <c r="E38" s="8">
        <f>SUM(E7:E37)</f>
        <v/>
      </c>
      <c r="F38" s="8">
        <f>SUM(F7:F37)</f>
        <v/>
      </c>
      <c r="G38" s="8">
        <f>SUM(G7:G37)</f>
        <v/>
      </c>
      <c r="H38" s="8">
        <f>SUM(H7:H37)</f>
        <v/>
      </c>
      <c r="I38" s="8">
        <f>SUM(I7:I37)</f>
        <v/>
      </c>
      <c r="J38" s="8">
        <f>SUM(J7:J37)</f>
        <v/>
      </c>
      <c r="K38" s="8">
        <f>SUM(K7:K37)</f>
        <v/>
      </c>
      <c r="L38" s="8">
        <f>SUM(L7:L37)</f>
        <v/>
      </c>
      <c r="M38" s="8">
        <f>SUM(M7:M37)</f>
        <v/>
      </c>
      <c r="N38" s="8">
        <f>SUM(N7:N37)</f>
        <v/>
      </c>
      <c r="O38" s="8">
        <f>SUM(O7:O37)</f>
        <v/>
      </c>
      <c r="P38" s="8">
        <f>SUM(P7:P37)</f>
        <v/>
      </c>
      <c r="Q38" s="8">
        <f>SUM(Q7:Q37)</f>
        <v/>
      </c>
      <c r="R38" s="8">
        <f>SUM(R7:R37)</f>
        <v/>
      </c>
      <c r="S38" s="8">
        <f>SUM(S7:S37)</f>
        <v/>
      </c>
    </row>
    <row r="39" ht="20" customHeight="1"/>
    <row r="40" ht="20" customHeight="1"/>
    <row r="41" ht="20" customHeight="1">
      <c r="A41" s="2" t="inlineStr">
        <is>
          <t>RESUMEN DEL MES</t>
        </is>
      </c>
      <c r="B41" s="9" t="n"/>
      <c r="C41" s="9" t="n"/>
      <c r="D41" s="10" t="n"/>
    </row>
    <row r="42" ht="20" customHeight="1">
      <c r="A42" s="11" t="inlineStr">
        <is>
          <t>Ingresos</t>
        </is>
      </c>
      <c r="B42" s="4">
        <f>J38</f>
        <v/>
      </c>
    </row>
    <row r="43" ht="20" customHeight="1">
      <c r="A43" s="11" t="inlineStr">
        <is>
          <t>Altas al hogar / otro hosp.</t>
        </is>
      </c>
      <c r="B43" s="4">
        <f>K38</f>
        <v/>
      </c>
    </row>
    <row r="44" ht="20" customHeight="1">
      <c r="A44" s="11" t="inlineStr">
        <is>
          <t>Traslados a otro servicio</t>
        </is>
      </c>
      <c r="B44" s="4">
        <f>L38</f>
        <v/>
      </c>
    </row>
    <row r="45" ht="20" customHeight="1">
      <c r="A45" s="11" t="inlineStr">
        <is>
          <t>Fallecidos</t>
        </is>
      </c>
      <c r="B45" s="4">
        <f>M38</f>
        <v/>
      </c>
    </row>
    <row r="46" ht="20" customHeight="1">
      <c r="A46" s="11" t="inlineStr">
        <is>
          <t>Total egresos</t>
        </is>
      </c>
      <c r="B46" s="4">
        <f>N38</f>
        <v/>
      </c>
    </row>
    <row r="47" ht="20" customHeight="1">
      <c r="A47" s="11" t="inlineStr">
        <is>
          <t>Pacientes atendidos del mes</t>
        </is>
      </c>
      <c r="B47" s="4">
        <f>C7+J38</f>
        <v/>
      </c>
    </row>
    <row r="48" ht="20" customHeight="1">
      <c r="A48" s="11" t="inlineStr">
        <is>
          <t>Dias personas atendidas</t>
        </is>
      </c>
      <c r="B48" s="4">
        <f>R38</f>
        <v/>
      </c>
    </row>
    <row r="49" ht="20" customHeight="1">
      <c r="A49" s="11" t="inlineStr">
        <is>
          <t>Indice ocupacional %</t>
        </is>
      </c>
      <c r="B49" s="12">
        <f>IFERROR(Q38/P38,"")</f>
        <v/>
      </c>
    </row>
    <row r="50" ht="20" customHeight="1">
      <c r="A50" s="11" t="inlineStr">
        <is>
          <t>Promedio dia de estada</t>
        </is>
      </c>
      <c r="B50" s="13">
        <f>IFERROR(R38/N38,"")</f>
        <v/>
      </c>
    </row>
  </sheetData>
  <sheetProtection selectLockedCells="1" selectUnlockedCells="1" sheet="1" objects="0" insertRows="1" insertHyperlinks="1" autoFilter="1" scenarios="0" formatColumns="1" deleteColumns="1" insertColumns="1" pivotTables="1" deleteRows="1" formatCells="1" formatRows="1" sort="1" password="C752"/>
  <mergeCells count="3">
    <mergeCell ref="U1:W1"/>
    <mergeCell ref="A41:D41"/>
    <mergeCell ref="A1:S1"/>
  </mergeCells>
  <dataValidations count="1">
    <dataValidation sqref="D7 D8 D9 D10 D11 D12 D13 D14 D15 D16 D17 D18 D19 D20 D21 D22 D23 D24 D25 D26 D27 D28 D29 D30 D31 D32 D33 D34 D35 D36 D37 E7 E8 E9 E10 E11 E12 E13 E14 E15 E16 E17 E18 E19 E20 E21 E22 E23 E24 E25 E26 E27 E28 E29 E30 E31 E32 E33 E34 E35 E36 E37 F7 F8 F9 F10 F11 F12 F13 F14 F15 F16 F17 F18 F19 F20 F21 F22 F23 F24 F25 F26 F27 F28 F29 F30 F31 F32 F33 F34 F35 F36 F37 G7 G8 G9 G10 G11 G12 G13 G14 G15 G16 G17 G18 G19 G20 G21 G22 G23 G24 G25 G26 G27 G28 G29 G30 G31 G32 G33 G34 G35 G36 G37 H7 H8 H9 H10 H11 H12 H13 H14 H15 H16 H17 H18 H19 H20 H21 H22 H23 H24 H25 H26 H27 H28 H29 H30 H31 H32 H33 H34 H35 H36 H37 I7 I8 I9 I10 I11 I12 I13 I14 I15 I16 I17 I18 I19 I20 I21 I22 I23 I24 I25 I26 I27 I28 I29 I30 I31 I32 I33 I34 I35 I36 I37 K7 K8 K9 K10 K11 K12 K13 K14 K15 K16 K17 K18 K19 K20 K21 K22 K23 K24 K25 K26 K27 K28 K29 K30 K31 K32 K33 K34 K35 K36 K37 L7 L8 L9 L10 L11 L12 L13 L14 L15 L16 L17 L18 L19 L20 L21 L22 L23 L24 L25 L26 L27 L28 L29 L30 L31 L32 L33 L34 L35 L36 L37 M7 M8 M9 M10 M11 M12 M13 M14 M15 M16 M17 M18 M19 M20 M21 M22 M23 M24 M25 M26 M27 M28 M29 M30 M31 M32 M33 M34 M35 M36 M37 O7 O8 O9 O10 O11 O12 O13 O14 O15 O16 O17 O18 O19 O20 O21 O22 O23 O24 O25 O26 O27 O28 O29 O30 O31 O32 O33 O34 O35 O36 O37 P7 P8 P9 P10 P11 P12 P13 P14 P15 P16 P17 P18 P19 P20 P21 P22 P23 P24 P25 P26 P27 P28 P29 P30 P31 P32 P33 P34 P35 P36 P37 R7 R8 R9 R10 R11 R12 R13 R14 R15 R16 R17 R18 R19 R20 R21 R22 R23 R24 R25 R26 R27 R28 R29 R30 R31 R32 R33 R34 R35 R36 R37 S7 S8 S9 S10 S11 S12 S13 S14 S15 S16 S17 S18 S19 S20 S21 S22 S23 S24 S25 S26 S27 S28 S29 S30 S31 S32 S33 S34 S35 S36 S37" showDropDown="0" showInputMessage="0" showErrorMessage="0" allowBlank="1" prompt="Ingresa un numero entero mayor o igual a 0." type="whole" operator="greaterThanOrEqual">
      <formula1>0</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49"/>
  <sheetViews>
    <sheetView showGridLines="1" workbookViewId="0">
      <pane ySplit="6" topLeftCell="A7" activePane="bottomLeft" state="frozen"/>
      <selection pane="bottomLeft" activeCell="A1" sqref="A1"/>
    </sheetView>
  </sheetViews>
  <sheetFormatPr baseColWidth="8" defaultRowHeight="15"/>
  <cols>
    <col width="13" customWidth="1" min="1" max="1"/>
    <col width="7" customWidth="1" min="2" max="2"/>
    <col width="20" customWidth="1" min="3" max="3"/>
    <col width="13" customWidth="1" min="4" max="4"/>
    <col width="18" customWidth="1" min="5" max="5"/>
    <col width="15" customWidth="1" min="6" max="6"/>
    <col width="16" customWidth="1" min="7" max="7"/>
    <col width="10" customWidth="1" min="8" max="8"/>
    <col width="15" customWidth="1" min="9" max="9"/>
    <col width="13" customWidth="1" min="10" max="10"/>
    <col width="20" customWidth="1" min="11" max="11"/>
    <col width="22" customWidth="1" min="12" max="12"/>
    <col width="14" customWidth="1" min="13" max="13"/>
    <col width="13" customWidth="1" min="14" max="14"/>
    <col width="18" customWidth="1" min="15" max="15"/>
    <col width="18" customWidth="1" min="16" max="16"/>
    <col width="17" customWidth="1" min="17" max="17"/>
    <col width="16" customWidth="1" min="18" max="18"/>
    <col width="16" customWidth="1" min="19" max="19"/>
    <col width="34" customWidth="1" min="21" max="21"/>
    <col width="12" customWidth="1" min="22" max="22"/>
  </cols>
  <sheetData>
    <row r="1" ht="20" customHeight="1">
      <c r="A1" s="1" t="inlineStr">
        <is>
          <t>RESUMEN MENSUAL HODOM</t>
        </is>
      </c>
      <c r="U1" s="1" t="inlineStr">
        <is>
          <t>CONTROL</t>
        </is>
      </c>
    </row>
    <row r="2" ht="20" customHeight="1">
      <c r="A2" s="2" t="inlineStr">
        <is>
          <t>Servicio</t>
        </is>
      </c>
      <c r="B2" s="4">
        <f>00_PARAMETROS!B3</f>
        <v/>
      </c>
      <c r="C2" s="2" t="inlineStr">
        <is>
          <t>Codigo</t>
        </is>
      </c>
      <c r="D2" s="4">
        <f>00_PARAMETROS!B4</f>
        <v/>
      </c>
      <c r="E2" s="2" t="inlineStr">
        <is>
          <t>Mes</t>
        </is>
      </c>
      <c r="F2" s="3" t="inlineStr">
        <is>
          <t>JUNIO</t>
        </is>
      </c>
      <c r="G2" s="2" t="inlineStr">
        <is>
          <t>Ano</t>
        </is>
      </c>
      <c r="H2" s="3" t="n">
        <v>2025</v>
      </c>
    </row>
    <row r="3" ht="20" customHeight="1">
      <c r="A3" s="2" t="inlineStr">
        <is>
          <t>Camas base</t>
        </is>
      </c>
      <c r="B3" s="4">
        <f>00_PARAMETROS!B5</f>
        <v/>
      </c>
      <c r="C3" s="2" t="inlineStr">
        <is>
          <t>Promedio camas</t>
        </is>
      </c>
      <c r="D3" s="4">
        <f>AVERAGE(P7:P36)</f>
        <v/>
      </c>
      <c r="E3" s="2" t="inlineStr">
        <is>
          <t>Dias del mes</t>
        </is>
      </c>
      <c r="F3" s="3" t="n">
        <v>30</v>
      </c>
      <c r="U3" s="5" t="inlineStr">
        <is>
          <t>Dias con ocupacion negativa</t>
        </is>
      </c>
      <c r="V3" s="4">
        <f>COUNTIF(Q7:Q36,"&lt;0")</f>
        <v/>
      </c>
    </row>
    <row r="4" ht="20" customHeight="1">
      <c r="U4" s="5" t="inlineStr">
        <is>
          <t>Dias sin camas disponibles</t>
        </is>
      </c>
      <c r="V4" s="4">
        <f>COUNTBLANK(P7:P36)</f>
        <v/>
      </c>
    </row>
    <row r="5" ht="20" customHeight="1">
      <c r="U5" s="5" t="inlineStr">
        <is>
          <t>Primer dia sin existencia inicial</t>
        </is>
      </c>
      <c r="V5" s="4">
        <f>IF(C7="",1,0)</f>
        <v/>
      </c>
    </row>
    <row r="6" ht="36" customHeight="1">
      <c r="A6" s="6" t="inlineStr">
        <is>
          <t>Fecha</t>
        </is>
      </c>
      <c r="B6" s="6" t="inlineStr">
        <is>
          <t>Dia</t>
        </is>
      </c>
      <c r="C6" s="6" t="inlineStr">
        <is>
          <t>Existencia dia anterior</t>
        </is>
      </c>
      <c r="D6" s="6" t="inlineStr">
        <is>
          <t>Ing. urgencia</t>
        </is>
      </c>
      <c r="E6" s="6" t="inlineStr">
        <is>
          <t>Ing. hospitalizacion</t>
        </is>
      </c>
      <c r="F6" s="6" t="inlineStr">
        <is>
          <t>Ing. ambulatorio</t>
        </is>
      </c>
      <c r="G6" s="6" t="inlineStr">
        <is>
          <t>Ing. ley urgencia</t>
        </is>
      </c>
      <c r="H6" s="6" t="inlineStr">
        <is>
          <t>Ing. UGCC</t>
        </is>
      </c>
      <c r="I6" s="6" t="inlineStr">
        <is>
          <t>Ing. por traslado</t>
        </is>
      </c>
      <c r="J6" s="6" t="inlineStr">
        <is>
          <t>Total ingresos</t>
        </is>
      </c>
      <c r="K6" s="6" t="inlineStr">
        <is>
          <t>Egr. alta hogar / otro hosp.</t>
        </is>
      </c>
      <c r="L6" s="6" t="inlineStr">
        <is>
          <t>Egr. traslado a otro servicio</t>
        </is>
      </c>
      <c r="M6" s="6" t="inlineStr">
        <is>
          <t>Egr. fallecidos</t>
        </is>
      </c>
      <c r="N6" s="6" t="inlineStr">
        <is>
          <t>Total egresos</t>
        </is>
      </c>
      <c r="O6" s="6" t="inlineStr">
        <is>
          <t>Ingr.-egr. mismo dia</t>
        </is>
      </c>
      <c r="P6" s="6" t="inlineStr">
        <is>
          <t>Dias cama disponibles</t>
        </is>
      </c>
      <c r="Q6" s="6" t="inlineStr">
        <is>
          <t>Dias cama ocupadas</t>
        </is>
      </c>
      <c r="R6" s="6" t="inlineStr">
        <is>
          <t>Dias estada total</t>
        </is>
      </c>
      <c r="S6" s="6" t="inlineStr">
        <is>
          <t>Dias estada benef.</t>
        </is>
      </c>
      <c r="U6" s="5" t="inlineStr">
        <is>
          <t>Dias con total ingresos manualmente alterado</t>
        </is>
      </c>
      <c r="V6" s="4" t="inlineStr">
        <is>
          <t>0</t>
        </is>
      </c>
    </row>
    <row r="7" ht="20" customHeight="1">
      <c r="A7" s="4">
        <f>DATE(2025,6,1)</f>
        <v/>
      </c>
      <c r="B7" s="4" t="n">
        <v>1</v>
      </c>
      <c r="C7" s="3" t="n"/>
      <c r="D7" s="3" t="n"/>
      <c r="E7" s="3" t="n"/>
      <c r="F7" s="3" t="n"/>
      <c r="G7" s="3" t="n"/>
      <c r="H7" s="3" t="n"/>
      <c r="I7" s="3" t="n"/>
      <c r="J7" s="4">
        <f>SUM(D7:H7)+I7</f>
        <v/>
      </c>
      <c r="K7" s="3" t="n"/>
      <c r="L7" s="3" t="n"/>
      <c r="M7" s="3" t="n"/>
      <c r="N7" s="4">
        <f>SUM(K7:M7)</f>
        <v/>
      </c>
      <c r="O7" s="3" t="n"/>
      <c r="P7" s="3">
        <f>00_PARAMETROS!B5</f>
        <v/>
      </c>
      <c r="Q7" s="4">
        <f>C7+J7-N7</f>
        <v/>
      </c>
      <c r="R7" s="3" t="n"/>
      <c r="S7" s="3" t="n"/>
      <c r="U7" s="5" t="inlineStr">
        <is>
          <t>Dias con total egresos manualmente alterado</t>
        </is>
      </c>
      <c r="V7" s="4" t="inlineStr">
        <is>
          <t>0</t>
        </is>
      </c>
    </row>
    <row r="8" ht="20" customHeight="1">
      <c r="A8" s="4">
        <f>DATE(2025,6,2)</f>
        <v/>
      </c>
      <c r="B8" s="4" t="n">
        <v>2</v>
      </c>
      <c r="C8" s="4">
        <f>Q7</f>
        <v/>
      </c>
      <c r="D8" s="3" t="n"/>
      <c r="E8" s="3" t="n"/>
      <c r="F8" s="3" t="n"/>
      <c r="G8" s="3" t="n"/>
      <c r="H8" s="3" t="n"/>
      <c r="I8" s="3" t="n"/>
      <c r="J8" s="4">
        <f>SUM(D8:H8)+I8</f>
        <v/>
      </c>
      <c r="K8" s="3" t="n"/>
      <c r="L8" s="3" t="n"/>
      <c r="M8" s="3" t="n"/>
      <c r="N8" s="4">
        <f>SUM(K8:M8)</f>
        <v/>
      </c>
      <c r="O8" s="3" t="n"/>
      <c r="P8" s="3">
        <f>00_PARAMETROS!B5</f>
        <v/>
      </c>
      <c r="Q8" s="4">
        <f>C8+J8-N8</f>
        <v/>
      </c>
      <c r="R8" s="3" t="n"/>
      <c r="S8" s="3" t="n"/>
    </row>
    <row r="9" ht="20" customHeight="1">
      <c r="A9" s="4">
        <f>DATE(2025,6,3)</f>
        <v/>
      </c>
      <c r="B9" s="4" t="n">
        <v>3</v>
      </c>
      <c r="C9" s="4">
        <f>Q8</f>
        <v/>
      </c>
      <c r="D9" s="3" t="n"/>
      <c r="E9" s="3" t="n"/>
      <c r="F9" s="3" t="n"/>
      <c r="G9" s="3" t="n"/>
      <c r="H9" s="3" t="n"/>
      <c r="I9" s="3" t="n"/>
      <c r="J9" s="4">
        <f>SUM(D9:H9)+I9</f>
        <v/>
      </c>
      <c r="K9" s="3" t="n"/>
      <c r="L9" s="3" t="n"/>
      <c r="M9" s="3" t="n"/>
      <c r="N9" s="4">
        <f>SUM(K9:M9)</f>
        <v/>
      </c>
      <c r="O9" s="3" t="n"/>
      <c r="P9" s="3">
        <f>00_PARAMETROS!B5</f>
        <v/>
      </c>
      <c r="Q9" s="4">
        <f>C9+J9-N9</f>
        <v/>
      </c>
      <c r="R9" s="3" t="n"/>
      <c r="S9" s="3" t="n"/>
    </row>
    <row r="10" ht="20" customHeight="1">
      <c r="A10" s="4">
        <f>DATE(2025,6,4)</f>
        <v/>
      </c>
      <c r="B10" s="4" t="n">
        <v>4</v>
      </c>
      <c r="C10" s="4">
        <f>Q9</f>
        <v/>
      </c>
      <c r="D10" s="3" t="n"/>
      <c r="E10" s="3" t="n"/>
      <c r="F10" s="3" t="n"/>
      <c r="G10" s="3" t="n"/>
      <c r="H10" s="3" t="n"/>
      <c r="I10" s="3" t="n"/>
      <c r="J10" s="4">
        <f>SUM(D10:H10)+I10</f>
        <v/>
      </c>
      <c r="K10" s="3" t="n"/>
      <c r="L10" s="3" t="n"/>
      <c r="M10" s="3" t="n"/>
      <c r="N10" s="4">
        <f>SUM(K10:M10)</f>
        <v/>
      </c>
      <c r="O10" s="3" t="n"/>
      <c r="P10" s="3">
        <f>00_PARAMETROS!B5</f>
        <v/>
      </c>
      <c r="Q10" s="4">
        <f>C10+J10-N10</f>
        <v/>
      </c>
      <c r="R10" s="3" t="n"/>
      <c r="S10" s="3" t="n"/>
    </row>
    <row r="11" ht="20" customHeight="1">
      <c r="A11" s="4">
        <f>DATE(2025,6,5)</f>
        <v/>
      </c>
      <c r="B11" s="4" t="n">
        <v>5</v>
      </c>
      <c r="C11" s="4">
        <f>Q10</f>
        <v/>
      </c>
      <c r="D11" s="3" t="n"/>
      <c r="E11" s="3" t="n"/>
      <c r="F11" s="3" t="n"/>
      <c r="G11" s="3" t="n"/>
      <c r="H11" s="3" t="n"/>
      <c r="I11" s="3" t="n"/>
      <c r="J11" s="4">
        <f>SUM(D11:H11)+I11</f>
        <v/>
      </c>
      <c r="K11" s="3" t="n"/>
      <c r="L11" s="3" t="n"/>
      <c r="M11" s="3" t="n"/>
      <c r="N11" s="4">
        <f>SUM(K11:M11)</f>
        <v/>
      </c>
      <c r="O11" s="3" t="n"/>
      <c r="P11" s="3">
        <f>00_PARAMETROS!B5</f>
        <v/>
      </c>
      <c r="Q11" s="4">
        <f>C11+J11-N11</f>
        <v/>
      </c>
      <c r="R11" s="3" t="n"/>
      <c r="S11" s="3" t="n"/>
    </row>
    <row r="12" ht="20" customHeight="1">
      <c r="A12" s="4">
        <f>DATE(2025,6,6)</f>
        <v/>
      </c>
      <c r="B12" s="4" t="n">
        <v>6</v>
      </c>
      <c r="C12" s="4">
        <f>Q11</f>
        <v/>
      </c>
      <c r="D12" s="3" t="n"/>
      <c r="E12" s="3" t="n"/>
      <c r="F12" s="3" t="n"/>
      <c r="G12" s="3" t="n"/>
      <c r="H12" s="3" t="n"/>
      <c r="I12" s="3" t="n"/>
      <c r="J12" s="4">
        <f>SUM(D12:H12)+I12</f>
        <v/>
      </c>
      <c r="K12" s="3" t="n"/>
      <c r="L12" s="3" t="n"/>
      <c r="M12" s="3" t="n"/>
      <c r="N12" s="4">
        <f>SUM(K12:M12)</f>
        <v/>
      </c>
      <c r="O12" s="3" t="n"/>
      <c r="P12" s="3">
        <f>00_PARAMETROS!B5</f>
        <v/>
      </c>
      <c r="Q12" s="4">
        <f>C12+J12-N12</f>
        <v/>
      </c>
      <c r="R12" s="3" t="n"/>
      <c r="S12" s="3" t="n"/>
    </row>
    <row r="13" ht="20" customHeight="1">
      <c r="A13" s="4">
        <f>DATE(2025,6,7)</f>
        <v/>
      </c>
      <c r="B13" s="4" t="n">
        <v>7</v>
      </c>
      <c r="C13" s="4">
        <f>Q12</f>
        <v/>
      </c>
      <c r="D13" s="3" t="n"/>
      <c r="E13" s="3" t="n"/>
      <c r="F13" s="3" t="n"/>
      <c r="G13" s="3" t="n"/>
      <c r="H13" s="3" t="n"/>
      <c r="I13" s="3" t="n"/>
      <c r="J13" s="4">
        <f>SUM(D13:H13)+I13</f>
        <v/>
      </c>
      <c r="K13" s="3" t="n"/>
      <c r="L13" s="3" t="n"/>
      <c r="M13" s="3" t="n"/>
      <c r="N13" s="4">
        <f>SUM(K13:M13)</f>
        <v/>
      </c>
      <c r="O13" s="3" t="n"/>
      <c r="P13" s="3">
        <f>00_PARAMETROS!B5</f>
        <v/>
      </c>
      <c r="Q13" s="4">
        <f>C13+J13-N13</f>
        <v/>
      </c>
      <c r="R13" s="3" t="n"/>
      <c r="S13" s="3" t="n"/>
    </row>
    <row r="14" ht="20" customHeight="1">
      <c r="A14" s="4">
        <f>DATE(2025,6,8)</f>
        <v/>
      </c>
      <c r="B14" s="4" t="n">
        <v>8</v>
      </c>
      <c r="C14" s="4">
        <f>Q13</f>
        <v/>
      </c>
      <c r="D14" s="3" t="n"/>
      <c r="E14" s="3" t="n"/>
      <c r="F14" s="3" t="n"/>
      <c r="G14" s="3" t="n"/>
      <c r="H14" s="3" t="n"/>
      <c r="I14" s="3" t="n"/>
      <c r="J14" s="4">
        <f>SUM(D14:H14)+I14</f>
        <v/>
      </c>
      <c r="K14" s="3" t="n"/>
      <c r="L14" s="3" t="n"/>
      <c r="M14" s="3" t="n"/>
      <c r="N14" s="4">
        <f>SUM(K14:M14)</f>
        <v/>
      </c>
      <c r="O14" s="3" t="n"/>
      <c r="P14" s="3">
        <f>00_PARAMETROS!B5</f>
        <v/>
      </c>
      <c r="Q14" s="4">
        <f>C14+J14-N14</f>
        <v/>
      </c>
      <c r="R14" s="3" t="n"/>
      <c r="S14" s="3" t="n"/>
    </row>
    <row r="15" ht="20" customHeight="1">
      <c r="A15" s="4">
        <f>DATE(2025,6,9)</f>
        <v/>
      </c>
      <c r="B15" s="4" t="n">
        <v>9</v>
      </c>
      <c r="C15" s="4">
        <f>Q14</f>
        <v/>
      </c>
      <c r="D15" s="3" t="n"/>
      <c r="E15" s="3" t="n"/>
      <c r="F15" s="3" t="n"/>
      <c r="G15" s="3" t="n"/>
      <c r="H15" s="3" t="n"/>
      <c r="I15" s="3" t="n"/>
      <c r="J15" s="4">
        <f>SUM(D15:H15)+I15</f>
        <v/>
      </c>
      <c r="K15" s="3" t="n"/>
      <c r="L15" s="3" t="n"/>
      <c r="M15" s="3" t="n"/>
      <c r="N15" s="4">
        <f>SUM(K15:M15)</f>
        <v/>
      </c>
      <c r="O15" s="3" t="n"/>
      <c r="P15" s="3">
        <f>00_PARAMETROS!B5</f>
        <v/>
      </c>
      <c r="Q15" s="4">
        <f>C15+J15-N15</f>
        <v/>
      </c>
      <c r="R15" s="3" t="n"/>
      <c r="S15" s="3" t="n"/>
    </row>
    <row r="16" ht="20" customHeight="1">
      <c r="A16" s="4">
        <f>DATE(2025,6,10)</f>
        <v/>
      </c>
      <c r="B16" s="4" t="n">
        <v>10</v>
      </c>
      <c r="C16" s="4">
        <f>Q15</f>
        <v/>
      </c>
      <c r="D16" s="3" t="n"/>
      <c r="E16" s="3" t="n"/>
      <c r="F16" s="3" t="n"/>
      <c r="G16" s="3" t="n"/>
      <c r="H16" s="3" t="n"/>
      <c r="I16" s="3" t="n"/>
      <c r="J16" s="4">
        <f>SUM(D16:H16)+I16</f>
        <v/>
      </c>
      <c r="K16" s="3" t="n"/>
      <c r="L16" s="3" t="n"/>
      <c r="M16" s="3" t="n"/>
      <c r="N16" s="4">
        <f>SUM(K16:M16)</f>
        <v/>
      </c>
      <c r="O16" s="3" t="n"/>
      <c r="P16" s="3">
        <f>00_PARAMETROS!B5</f>
        <v/>
      </c>
      <c r="Q16" s="4">
        <f>C16+J16-N16</f>
        <v/>
      </c>
      <c r="R16" s="3" t="n"/>
      <c r="S16" s="3" t="n"/>
    </row>
    <row r="17" ht="20" customHeight="1">
      <c r="A17" s="4">
        <f>DATE(2025,6,11)</f>
        <v/>
      </c>
      <c r="B17" s="4" t="n">
        <v>11</v>
      </c>
      <c r="C17" s="4">
        <f>Q16</f>
        <v/>
      </c>
      <c r="D17" s="3" t="n"/>
      <c r="E17" s="3" t="n"/>
      <c r="F17" s="3" t="n"/>
      <c r="G17" s="3" t="n"/>
      <c r="H17" s="3" t="n"/>
      <c r="I17" s="3" t="n"/>
      <c r="J17" s="4">
        <f>SUM(D17:H17)+I17</f>
        <v/>
      </c>
      <c r="K17" s="3" t="n"/>
      <c r="L17" s="3" t="n"/>
      <c r="M17" s="3" t="n"/>
      <c r="N17" s="4">
        <f>SUM(K17:M17)</f>
        <v/>
      </c>
      <c r="O17" s="3" t="n"/>
      <c r="P17" s="3">
        <f>00_PARAMETROS!B5</f>
        <v/>
      </c>
      <c r="Q17" s="4">
        <f>C17+J17-N17</f>
        <v/>
      </c>
      <c r="R17" s="3" t="n"/>
      <c r="S17" s="3" t="n"/>
    </row>
    <row r="18" ht="20" customHeight="1">
      <c r="A18" s="4">
        <f>DATE(2025,6,12)</f>
        <v/>
      </c>
      <c r="B18" s="4" t="n">
        <v>12</v>
      </c>
      <c r="C18" s="4">
        <f>Q17</f>
        <v/>
      </c>
      <c r="D18" s="3" t="n"/>
      <c r="E18" s="3" t="n"/>
      <c r="F18" s="3" t="n"/>
      <c r="G18" s="3" t="n"/>
      <c r="H18" s="3" t="n"/>
      <c r="I18" s="3" t="n"/>
      <c r="J18" s="4">
        <f>SUM(D18:H18)+I18</f>
        <v/>
      </c>
      <c r="K18" s="3" t="n"/>
      <c r="L18" s="3" t="n"/>
      <c r="M18" s="3" t="n"/>
      <c r="N18" s="4">
        <f>SUM(K18:M18)</f>
        <v/>
      </c>
      <c r="O18" s="3" t="n"/>
      <c r="P18" s="3">
        <f>00_PARAMETROS!B5</f>
        <v/>
      </c>
      <c r="Q18" s="4">
        <f>C18+J18-N18</f>
        <v/>
      </c>
      <c r="R18" s="3" t="n"/>
      <c r="S18" s="3" t="n"/>
    </row>
    <row r="19" ht="20" customHeight="1">
      <c r="A19" s="4">
        <f>DATE(2025,6,13)</f>
        <v/>
      </c>
      <c r="B19" s="4" t="n">
        <v>13</v>
      </c>
      <c r="C19" s="4">
        <f>Q18</f>
        <v/>
      </c>
      <c r="D19" s="3" t="n"/>
      <c r="E19" s="3" t="n"/>
      <c r="F19" s="3" t="n"/>
      <c r="G19" s="3" t="n"/>
      <c r="H19" s="3" t="n"/>
      <c r="I19" s="3" t="n"/>
      <c r="J19" s="4">
        <f>SUM(D19:H19)+I19</f>
        <v/>
      </c>
      <c r="K19" s="3" t="n"/>
      <c r="L19" s="3" t="n"/>
      <c r="M19" s="3" t="n"/>
      <c r="N19" s="4">
        <f>SUM(K19:M19)</f>
        <v/>
      </c>
      <c r="O19" s="3" t="n"/>
      <c r="P19" s="3">
        <f>00_PARAMETROS!B5</f>
        <v/>
      </c>
      <c r="Q19" s="4">
        <f>C19+J19-N19</f>
        <v/>
      </c>
      <c r="R19" s="3" t="n"/>
      <c r="S19" s="3" t="n"/>
    </row>
    <row r="20" ht="20" customHeight="1">
      <c r="A20" s="4">
        <f>DATE(2025,6,14)</f>
        <v/>
      </c>
      <c r="B20" s="4" t="n">
        <v>14</v>
      </c>
      <c r="C20" s="4">
        <f>Q19</f>
        <v/>
      </c>
      <c r="D20" s="3" t="n"/>
      <c r="E20" s="3" t="n"/>
      <c r="F20" s="3" t="n"/>
      <c r="G20" s="3" t="n"/>
      <c r="H20" s="3" t="n"/>
      <c r="I20" s="3" t="n"/>
      <c r="J20" s="4">
        <f>SUM(D20:H20)+I20</f>
        <v/>
      </c>
      <c r="K20" s="3" t="n"/>
      <c r="L20" s="3" t="n"/>
      <c r="M20" s="3" t="n"/>
      <c r="N20" s="4">
        <f>SUM(K20:M20)</f>
        <v/>
      </c>
      <c r="O20" s="3" t="n"/>
      <c r="P20" s="3">
        <f>00_PARAMETROS!B5</f>
        <v/>
      </c>
      <c r="Q20" s="4">
        <f>C20+J20-N20</f>
        <v/>
      </c>
      <c r="R20" s="3" t="n"/>
      <c r="S20" s="3" t="n"/>
    </row>
    <row r="21" ht="20" customHeight="1">
      <c r="A21" s="4">
        <f>DATE(2025,6,15)</f>
        <v/>
      </c>
      <c r="B21" s="4" t="n">
        <v>15</v>
      </c>
      <c r="C21" s="4">
        <f>Q20</f>
        <v/>
      </c>
      <c r="D21" s="3" t="n"/>
      <c r="E21" s="3" t="n"/>
      <c r="F21" s="3" t="n"/>
      <c r="G21" s="3" t="n"/>
      <c r="H21" s="3" t="n"/>
      <c r="I21" s="3" t="n"/>
      <c r="J21" s="4">
        <f>SUM(D21:H21)+I21</f>
        <v/>
      </c>
      <c r="K21" s="3" t="n"/>
      <c r="L21" s="3" t="n"/>
      <c r="M21" s="3" t="n"/>
      <c r="N21" s="4">
        <f>SUM(K21:M21)</f>
        <v/>
      </c>
      <c r="O21" s="3" t="n"/>
      <c r="P21" s="3">
        <f>00_PARAMETROS!B5</f>
        <v/>
      </c>
      <c r="Q21" s="4">
        <f>C21+J21-N21</f>
        <v/>
      </c>
      <c r="R21" s="3" t="n"/>
      <c r="S21" s="3" t="n"/>
    </row>
    <row r="22" ht="20" customHeight="1">
      <c r="A22" s="4">
        <f>DATE(2025,6,16)</f>
        <v/>
      </c>
      <c r="B22" s="4" t="n">
        <v>16</v>
      </c>
      <c r="C22" s="4">
        <f>Q21</f>
        <v/>
      </c>
      <c r="D22" s="3" t="n"/>
      <c r="E22" s="3" t="n"/>
      <c r="F22" s="3" t="n"/>
      <c r="G22" s="3" t="n"/>
      <c r="H22" s="3" t="n"/>
      <c r="I22" s="3" t="n"/>
      <c r="J22" s="4">
        <f>SUM(D22:H22)+I22</f>
        <v/>
      </c>
      <c r="K22" s="3" t="n"/>
      <c r="L22" s="3" t="n"/>
      <c r="M22" s="3" t="n"/>
      <c r="N22" s="4">
        <f>SUM(K22:M22)</f>
        <v/>
      </c>
      <c r="O22" s="3" t="n"/>
      <c r="P22" s="3">
        <f>00_PARAMETROS!B5</f>
        <v/>
      </c>
      <c r="Q22" s="4">
        <f>C22+J22-N22</f>
        <v/>
      </c>
      <c r="R22" s="3" t="n"/>
      <c r="S22" s="3" t="n"/>
    </row>
    <row r="23" ht="20" customHeight="1">
      <c r="A23" s="4">
        <f>DATE(2025,6,17)</f>
        <v/>
      </c>
      <c r="B23" s="4" t="n">
        <v>17</v>
      </c>
      <c r="C23" s="4">
        <f>Q22</f>
        <v/>
      </c>
      <c r="D23" s="3" t="n"/>
      <c r="E23" s="3" t="n"/>
      <c r="F23" s="3" t="n"/>
      <c r="G23" s="3" t="n"/>
      <c r="H23" s="3" t="n"/>
      <c r="I23" s="3" t="n"/>
      <c r="J23" s="4">
        <f>SUM(D23:H23)+I23</f>
        <v/>
      </c>
      <c r="K23" s="3" t="n"/>
      <c r="L23" s="3" t="n"/>
      <c r="M23" s="3" t="n"/>
      <c r="N23" s="4">
        <f>SUM(K23:M23)</f>
        <v/>
      </c>
      <c r="O23" s="3" t="n"/>
      <c r="P23" s="3">
        <f>00_PARAMETROS!B5</f>
        <v/>
      </c>
      <c r="Q23" s="4">
        <f>C23+J23-N23</f>
        <v/>
      </c>
      <c r="R23" s="3" t="n"/>
      <c r="S23" s="3" t="n"/>
    </row>
    <row r="24" ht="20" customHeight="1">
      <c r="A24" s="4">
        <f>DATE(2025,6,18)</f>
        <v/>
      </c>
      <c r="B24" s="4" t="n">
        <v>18</v>
      </c>
      <c r="C24" s="4">
        <f>Q23</f>
        <v/>
      </c>
      <c r="D24" s="3" t="n"/>
      <c r="E24" s="3" t="n"/>
      <c r="F24" s="3" t="n"/>
      <c r="G24" s="3" t="n"/>
      <c r="H24" s="3" t="n"/>
      <c r="I24" s="3" t="n"/>
      <c r="J24" s="4">
        <f>SUM(D24:H24)+I24</f>
        <v/>
      </c>
      <c r="K24" s="3" t="n"/>
      <c r="L24" s="3" t="n"/>
      <c r="M24" s="3" t="n"/>
      <c r="N24" s="4">
        <f>SUM(K24:M24)</f>
        <v/>
      </c>
      <c r="O24" s="3" t="n"/>
      <c r="P24" s="3">
        <f>00_PARAMETROS!B5</f>
        <v/>
      </c>
      <c r="Q24" s="4">
        <f>C24+J24-N24</f>
        <v/>
      </c>
      <c r="R24" s="3" t="n"/>
      <c r="S24" s="3" t="n"/>
    </row>
    <row r="25" ht="20" customHeight="1">
      <c r="A25" s="4">
        <f>DATE(2025,6,19)</f>
        <v/>
      </c>
      <c r="B25" s="4" t="n">
        <v>19</v>
      </c>
      <c r="C25" s="4">
        <f>Q24</f>
        <v/>
      </c>
      <c r="D25" s="3" t="n"/>
      <c r="E25" s="3" t="n"/>
      <c r="F25" s="3" t="n"/>
      <c r="G25" s="3" t="n"/>
      <c r="H25" s="3" t="n"/>
      <c r="I25" s="3" t="n"/>
      <c r="J25" s="4">
        <f>SUM(D25:H25)+I25</f>
        <v/>
      </c>
      <c r="K25" s="3" t="n"/>
      <c r="L25" s="3" t="n"/>
      <c r="M25" s="3" t="n"/>
      <c r="N25" s="4">
        <f>SUM(K25:M25)</f>
        <v/>
      </c>
      <c r="O25" s="3" t="n"/>
      <c r="P25" s="3">
        <f>00_PARAMETROS!B5</f>
        <v/>
      </c>
      <c r="Q25" s="4">
        <f>C25+J25-N25</f>
        <v/>
      </c>
      <c r="R25" s="3" t="n"/>
      <c r="S25" s="3" t="n"/>
    </row>
    <row r="26" ht="20" customHeight="1">
      <c r="A26" s="4">
        <f>DATE(2025,6,20)</f>
        <v/>
      </c>
      <c r="B26" s="4" t="n">
        <v>20</v>
      </c>
      <c r="C26" s="4">
        <f>Q25</f>
        <v/>
      </c>
      <c r="D26" s="3" t="n"/>
      <c r="E26" s="3" t="n"/>
      <c r="F26" s="3" t="n"/>
      <c r="G26" s="3" t="n"/>
      <c r="H26" s="3" t="n"/>
      <c r="I26" s="3" t="n"/>
      <c r="J26" s="4">
        <f>SUM(D26:H26)+I26</f>
        <v/>
      </c>
      <c r="K26" s="3" t="n"/>
      <c r="L26" s="3" t="n"/>
      <c r="M26" s="3" t="n"/>
      <c r="N26" s="4">
        <f>SUM(K26:M26)</f>
        <v/>
      </c>
      <c r="O26" s="3" t="n"/>
      <c r="P26" s="3">
        <f>00_PARAMETROS!B5</f>
        <v/>
      </c>
      <c r="Q26" s="4">
        <f>C26+J26-N26</f>
        <v/>
      </c>
      <c r="R26" s="3" t="n"/>
      <c r="S26" s="3" t="n"/>
    </row>
    <row r="27" ht="20" customHeight="1">
      <c r="A27" s="4">
        <f>DATE(2025,6,21)</f>
        <v/>
      </c>
      <c r="B27" s="4" t="n">
        <v>21</v>
      </c>
      <c r="C27" s="4">
        <f>Q26</f>
        <v/>
      </c>
      <c r="D27" s="3" t="n"/>
      <c r="E27" s="3" t="n"/>
      <c r="F27" s="3" t="n"/>
      <c r="G27" s="3" t="n"/>
      <c r="H27" s="3" t="n"/>
      <c r="I27" s="3" t="n"/>
      <c r="J27" s="4">
        <f>SUM(D27:H27)+I27</f>
        <v/>
      </c>
      <c r="K27" s="3" t="n"/>
      <c r="L27" s="3" t="n"/>
      <c r="M27" s="3" t="n"/>
      <c r="N27" s="4">
        <f>SUM(K27:M27)</f>
        <v/>
      </c>
      <c r="O27" s="3" t="n"/>
      <c r="P27" s="3">
        <f>00_PARAMETROS!B5</f>
        <v/>
      </c>
      <c r="Q27" s="4">
        <f>C27+J27-N27</f>
        <v/>
      </c>
      <c r="R27" s="3" t="n"/>
      <c r="S27" s="3" t="n"/>
    </row>
    <row r="28" ht="20" customHeight="1">
      <c r="A28" s="4">
        <f>DATE(2025,6,22)</f>
        <v/>
      </c>
      <c r="B28" s="4" t="n">
        <v>22</v>
      </c>
      <c r="C28" s="4">
        <f>Q27</f>
        <v/>
      </c>
      <c r="D28" s="3" t="n"/>
      <c r="E28" s="3" t="n"/>
      <c r="F28" s="3" t="n"/>
      <c r="G28" s="3" t="n"/>
      <c r="H28" s="3" t="n"/>
      <c r="I28" s="3" t="n"/>
      <c r="J28" s="4">
        <f>SUM(D28:H28)+I28</f>
        <v/>
      </c>
      <c r="K28" s="3" t="n"/>
      <c r="L28" s="3" t="n"/>
      <c r="M28" s="3" t="n"/>
      <c r="N28" s="4">
        <f>SUM(K28:M28)</f>
        <v/>
      </c>
      <c r="O28" s="3" t="n"/>
      <c r="P28" s="3">
        <f>00_PARAMETROS!B5</f>
        <v/>
      </c>
      <c r="Q28" s="4">
        <f>C28+J28-N28</f>
        <v/>
      </c>
      <c r="R28" s="3" t="n"/>
      <c r="S28" s="3" t="n"/>
    </row>
    <row r="29" ht="20" customHeight="1">
      <c r="A29" s="4">
        <f>DATE(2025,6,23)</f>
        <v/>
      </c>
      <c r="B29" s="4" t="n">
        <v>23</v>
      </c>
      <c r="C29" s="4">
        <f>Q28</f>
        <v/>
      </c>
      <c r="D29" s="3" t="n"/>
      <c r="E29" s="3" t="n"/>
      <c r="F29" s="3" t="n"/>
      <c r="G29" s="3" t="n"/>
      <c r="H29" s="3" t="n"/>
      <c r="I29" s="3" t="n"/>
      <c r="J29" s="4">
        <f>SUM(D29:H29)+I29</f>
        <v/>
      </c>
      <c r="K29" s="3" t="n"/>
      <c r="L29" s="3" t="n"/>
      <c r="M29" s="3" t="n"/>
      <c r="N29" s="4">
        <f>SUM(K29:M29)</f>
        <v/>
      </c>
      <c r="O29" s="3" t="n"/>
      <c r="P29" s="3">
        <f>00_PARAMETROS!B5</f>
        <v/>
      </c>
      <c r="Q29" s="4">
        <f>C29+J29-N29</f>
        <v/>
      </c>
      <c r="R29" s="3" t="n"/>
      <c r="S29" s="3" t="n"/>
    </row>
    <row r="30" ht="20" customHeight="1">
      <c r="A30" s="4">
        <f>DATE(2025,6,24)</f>
        <v/>
      </c>
      <c r="B30" s="4" t="n">
        <v>24</v>
      </c>
      <c r="C30" s="4">
        <f>Q29</f>
        <v/>
      </c>
      <c r="D30" s="3" t="n"/>
      <c r="E30" s="3" t="n"/>
      <c r="F30" s="3" t="n"/>
      <c r="G30" s="3" t="n"/>
      <c r="H30" s="3" t="n"/>
      <c r="I30" s="3" t="n"/>
      <c r="J30" s="4">
        <f>SUM(D30:H30)+I30</f>
        <v/>
      </c>
      <c r="K30" s="3" t="n"/>
      <c r="L30" s="3" t="n"/>
      <c r="M30" s="3" t="n"/>
      <c r="N30" s="4">
        <f>SUM(K30:M30)</f>
        <v/>
      </c>
      <c r="O30" s="3" t="n"/>
      <c r="P30" s="3">
        <f>00_PARAMETROS!B5</f>
        <v/>
      </c>
      <c r="Q30" s="4">
        <f>C30+J30-N30</f>
        <v/>
      </c>
      <c r="R30" s="3" t="n"/>
      <c r="S30" s="3" t="n"/>
    </row>
    <row r="31" ht="20" customHeight="1">
      <c r="A31" s="4">
        <f>DATE(2025,6,25)</f>
        <v/>
      </c>
      <c r="B31" s="4" t="n">
        <v>25</v>
      </c>
      <c r="C31" s="4">
        <f>Q30</f>
        <v/>
      </c>
      <c r="D31" s="3" t="n"/>
      <c r="E31" s="3" t="n"/>
      <c r="F31" s="3" t="n"/>
      <c r="G31" s="3" t="n"/>
      <c r="H31" s="3" t="n"/>
      <c r="I31" s="3" t="n"/>
      <c r="J31" s="4">
        <f>SUM(D31:H31)+I31</f>
        <v/>
      </c>
      <c r="K31" s="3" t="n"/>
      <c r="L31" s="3" t="n"/>
      <c r="M31" s="3" t="n"/>
      <c r="N31" s="4">
        <f>SUM(K31:M31)</f>
        <v/>
      </c>
      <c r="O31" s="3" t="n"/>
      <c r="P31" s="3">
        <f>00_PARAMETROS!B5</f>
        <v/>
      </c>
      <c r="Q31" s="4">
        <f>C31+J31-N31</f>
        <v/>
      </c>
      <c r="R31" s="3" t="n"/>
      <c r="S31" s="3" t="n"/>
    </row>
    <row r="32" ht="20" customHeight="1">
      <c r="A32" s="4">
        <f>DATE(2025,6,26)</f>
        <v/>
      </c>
      <c r="B32" s="4" t="n">
        <v>26</v>
      </c>
      <c r="C32" s="4">
        <f>Q31</f>
        <v/>
      </c>
      <c r="D32" s="3" t="n"/>
      <c r="E32" s="3" t="n"/>
      <c r="F32" s="3" t="n"/>
      <c r="G32" s="3" t="n"/>
      <c r="H32" s="3" t="n"/>
      <c r="I32" s="3" t="n"/>
      <c r="J32" s="4">
        <f>SUM(D32:H32)+I32</f>
        <v/>
      </c>
      <c r="K32" s="3" t="n"/>
      <c r="L32" s="3" t="n"/>
      <c r="M32" s="3" t="n"/>
      <c r="N32" s="4">
        <f>SUM(K32:M32)</f>
        <v/>
      </c>
      <c r="O32" s="3" t="n"/>
      <c r="P32" s="3">
        <f>00_PARAMETROS!B5</f>
        <v/>
      </c>
      <c r="Q32" s="4">
        <f>C32+J32-N32</f>
        <v/>
      </c>
      <c r="R32" s="3" t="n"/>
      <c r="S32" s="3" t="n"/>
    </row>
    <row r="33" ht="20" customHeight="1">
      <c r="A33" s="4">
        <f>DATE(2025,6,27)</f>
        <v/>
      </c>
      <c r="B33" s="4" t="n">
        <v>27</v>
      </c>
      <c r="C33" s="4">
        <f>Q32</f>
        <v/>
      </c>
      <c r="D33" s="3" t="n"/>
      <c r="E33" s="3" t="n"/>
      <c r="F33" s="3" t="n"/>
      <c r="G33" s="3" t="n"/>
      <c r="H33" s="3" t="n"/>
      <c r="I33" s="3" t="n"/>
      <c r="J33" s="4">
        <f>SUM(D33:H33)+I33</f>
        <v/>
      </c>
      <c r="K33" s="3" t="n"/>
      <c r="L33" s="3" t="n"/>
      <c r="M33" s="3" t="n"/>
      <c r="N33" s="4">
        <f>SUM(K33:M33)</f>
        <v/>
      </c>
      <c r="O33" s="3" t="n"/>
      <c r="P33" s="3">
        <f>00_PARAMETROS!B5</f>
        <v/>
      </c>
      <c r="Q33" s="4">
        <f>C33+J33-N33</f>
        <v/>
      </c>
      <c r="R33" s="3" t="n"/>
      <c r="S33" s="3" t="n"/>
    </row>
    <row r="34" ht="20" customHeight="1">
      <c r="A34" s="4">
        <f>DATE(2025,6,28)</f>
        <v/>
      </c>
      <c r="B34" s="4" t="n">
        <v>28</v>
      </c>
      <c r="C34" s="4">
        <f>Q33</f>
        <v/>
      </c>
      <c r="D34" s="3" t="n"/>
      <c r="E34" s="3" t="n"/>
      <c r="F34" s="3" t="n"/>
      <c r="G34" s="3" t="n"/>
      <c r="H34" s="3" t="n"/>
      <c r="I34" s="3" t="n"/>
      <c r="J34" s="4">
        <f>SUM(D34:H34)+I34</f>
        <v/>
      </c>
      <c r="K34" s="3" t="n"/>
      <c r="L34" s="3" t="n"/>
      <c r="M34" s="3" t="n"/>
      <c r="N34" s="4">
        <f>SUM(K34:M34)</f>
        <v/>
      </c>
      <c r="O34" s="3" t="n"/>
      <c r="P34" s="3">
        <f>00_PARAMETROS!B5</f>
        <v/>
      </c>
      <c r="Q34" s="4">
        <f>C34+J34-N34</f>
        <v/>
      </c>
      <c r="R34" s="3" t="n"/>
      <c r="S34" s="3" t="n"/>
    </row>
    <row r="35" ht="20" customHeight="1">
      <c r="A35" s="4">
        <f>DATE(2025,6,29)</f>
        <v/>
      </c>
      <c r="B35" s="4" t="n">
        <v>29</v>
      </c>
      <c r="C35" s="4">
        <f>Q34</f>
        <v/>
      </c>
      <c r="D35" s="3" t="n"/>
      <c r="E35" s="3" t="n"/>
      <c r="F35" s="3" t="n"/>
      <c r="G35" s="3" t="n"/>
      <c r="H35" s="3" t="n"/>
      <c r="I35" s="3" t="n"/>
      <c r="J35" s="4">
        <f>SUM(D35:H35)+I35</f>
        <v/>
      </c>
      <c r="K35" s="3" t="n"/>
      <c r="L35" s="3" t="n"/>
      <c r="M35" s="3" t="n"/>
      <c r="N35" s="4">
        <f>SUM(K35:M35)</f>
        <v/>
      </c>
      <c r="O35" s="3" t="n"/>
      <c r="P35" s="3">
        <f>00_PARAMETROS!B5</f>
        <v/>
      </c>
      <c r="Q35" s="4">
        <f>C35+J35-N35</f>
        <v/>
      </c>
      <c r="R35" s="3" t="n"/>
      <c r="S35" s="3" t="n"/>
    </row>
    <row r="36" ht="20" customHeight="1">
      <c r="A36" s="4">
        <f>DATE(2025,6,30)</f>
        <v/>
      </c>
      <c r="B36" s="4" t="n">
        <v>30</v>
      </c>
      <c r="C36" s="4">
        <f>Q35</f>
        <v/>
      </c>
      <c r="D36" s="3" t="n"/>
      <c r="E36" s="3" t="n"/>
      <c r="F36" s="3" t="n"/>
      <c r="G36" s="3" t="n"/>
      <c r="H36" s="3" t="n"/>
      <c r="I36" s="3" t="n"/>
      <c r="J36" s="4">
        <f>SUM(D36:H36)+I36</f>
        <v/>
      </c>
      <c r="K36" s="3" t="n"/>
      <c r="L36" s="3" t="n"/>
      <c r="M36" s="3" t="n"/>
      <c r="N36" s="4">
        <f>SUM(K36:M36)</f>
        <v/>
      </c>
      <c r="O36" s="3" t="n"/>
      <c r="P36" s="3">
        <f>00_PARAMETROS!B5</f>
        <v/>
      </c>
      <c r="Q36" s="4">
        <f>C36+J36-N36</f>
        <v/>
      </c>
      <c r="R36" s="3" t="n"/>
      <c r="S36" s="3" t="n"/>
    </row>
    <row r="37" ht="20" customHeight="1">
      <c r="A37" s="2" t="inlineStr">
        <is>
          <t>TOTAL</t>
        </is>
      </c>
      <c r="B37" s="7" t="n"/>
      <c r="C37" s="7" t="n"/>
      <c r="D37" s="8">
        <f>SUM(D7:D36)</f>
        <v/>
      </c>
      <c r="E37" s="8">
        <f>SUM(E7:E36)</f>
        <v/>
      </c>
      <c r="F37" s="8">
        <f>SUM(F7:F36)</f>
        <v/>
      </c>
      <c r="G37" s="8">
        <f>SUM(G7:G36)</f>
        <v/>
      </c>
      <c r="H37" s="8">
        <f>SUM(H7:H36)</f>
        <v/>
      </c>
      <c r="I37" s="8">
        <f>SUM(I7:I36)</f>
        <v/>
      </c>
      <c r="J37" s="8">
        <f>SUM(J7:J36)</f>
        <v/>
      </c>
      <c r="K37" s="8">
        <f>SUM(K7:K36)</f>
        <v/>
      </c>
      <c r="L37" s="8">
        <f>SUM(L7:L36)</f>
        <v/>
      </c>
      <c r="M37" s="8">
        <f>SUM(M7:M36)</f>
        <v/>
      </c>
      <c r="N37" s="8">
        <f>SUM(N7:N36)</f>
        <v/>
      </c>
      <c r="O37" s="8">
        <f>SUM(O7:O36)</f>
        <v/>
      </c>
      <c r="P37" s="8">
        <f>SUM(P7:P36)</f>
        <v/>
      </c>
      <c r="Q37" s="8">
        <f>SUM(Q7:Q36)</f>
        <v/>
      </c>
      <c r="R37" s="8">
        <f>SUM(R7:R36)</f>
        <v/>
      </c>
      <c r="S37" s="8">
        <f>SUM(S7:S36)</f>
        <v/>
      </c>
    </row>
    <row r="38" ht="20" customHeight="1"/>
    <row r="39" ht="20" customHeight="1"/>
    <row r="40" ht="20" customHeight="1">
      <c r="A40" s="2" t="inlineStr">
        <is>
          <t>RESUMEN DEL MES</t>
        </is>
      </c>
      <c r="B40" s="9" t="n"/>
      <c r="C40" s="9" t="n"/>
      <c r="D40" s="10" t="n"/>
    </row>
    <row r="41" ht="20" customHeight="1">
      <c r="A41" s="11" t="inlineStr">
        <is>
          <t>Ingresos</t>
        </is>
      </c>
      <c r="B41" s="4">
        <f>J37</f>
        <v/>
      </c>
    </row>
    <row r="42" ht="20" customHeight="1">
      <c r="A42" s="11" t="inlineStr">
        <is>
          <t>Altas al hogar / otro hosp.</t>
        </is>
      </c>
      <c r="B42" s="4">
        <f>K37</f>
        <v/>
      </c>
    </row>
    <row r="43" ht="20" customHeight="1">
      <c r="A43" s="11" t="inlineStr">
        <is>
          <t>Traslados a otro servicio</t>
        </is>
      </c>
      <c r="B43" s="4">
        <f>L37</f>
        <v/>
      </c>
    </row>
    <row r="44" ht="20" customHeight="1">
      <c r="A44" s="11" t="inlineStr">
        <is>
          <t>Fallecidos</t>
        </is>
      </c>
      <c r="B44" s="4">
        <f>M37</f>
        <v/>
      </c>
    </row>
    <row r="45" ht="20" customHeight="1">
      <c r="A45" s="11" t="inlineStr">
        <is>
          <t>Total egresos</t>
        </is>
      </c>
      <c r="B45" s="4">
        <f>N37</f>
        <v/>
      </c>
    </row>
    <row r="46" ht="20" customHeight="1">
      <c r="A46" s="11" t="inlineStr">
        <is>
          <t>Pacientes atendidos del mes</t>
        </is>
      </c>
      <c r="B46" s="4">
        <f>C7+J37</f>
        <v/>
      </c>
    </row>
    <row r="47" ht="20" customHeight="1">
      <c r="A47" s="11" t="inlineStr">
        <is>
          <t>Dias personas atendidas</t>
        </is>
      </c>
      <c r="B47" s="4">
        <f>R37</f>
        <v/>
      </c>
    </row>
    <row r="48" ht="20" customHeight="1">
      <c r="A48" s="11" t="inlineStr">
        <is>
          <t>Indice ocupacional %</t>
        </is>
      </c>
      <c r="B48" s="12">
        <f>IFERROR(Q37/P37,"")</f>
        <v/>
      </c>
    </row>
    <row r="49" ht="20" customHeight="1">
      <c r="A49" s="11" t="inlineStr">
        <is>
          <t>Promedio dia de estada</t>
        </is>
      </c>
      <c r="B49" s="13">
        <f>IFERROR(R37/N37,"")</f>
        <v/>
      </c>
    </row>
  </sheetData>
  <sheetProtection selectLockedCells="1" selectUnlockedCells="1" sheet="1" objects="0" insertRows="1" insertHyperlinks="1" autoFilter="1" scenarios="0" formatColumns="1" deleteColumns="1" insertColumns="1" pivotTables="1" deleteRows="1" formatCells="1" formatRows="1" sort="1" password="C752"/>
  <mergeCells count="3">
    <mergeCell ref="U1:W1"/>
    <mergeCell ref="A40:D40"/>
    <mergeCell ref="A1:S1"/>
  </mergeCells>
  <dataValidations count="1">
    <dataValidation sqref="D7 D8 D9 D10 D11 D12 D13 D14 D15 D16 D17 D18 D19 D20 D21 D22 D23 D24 D25 D26 D27 D28 D29 D30 D31 D32 D33 D34 D35 D36 E7 E8 E9 E10 E11 E12 E13 E14 E15 E16 E17 E18 E19 E20 E21 E22 E23 E24 E25 E26 E27 E28 E29 E30 E31 E32 E33 E34 E35 E36 F7 F8 F9 F10 F11 F12 F13 F14 F15 F16 F17 F18 F19 F20 F21 F22 F23 F24 F25 F26 F27 F28 F29 F30 F31 F32 F33 F34 F35 F36 G7 G8 G9 G10 G11 G12 G13 G14 G15 G16 G17 G18 G19 G20 G21 G22 G23 G24 G25 G26 G27 G28 G29 G30 G31 G32 G33 G34 G35 G36 H7 H8 H9 H10 H11 H12 H13 H14 H15 H16 H17 H18 H19 H20 H21 H22 H23 H24 H25 H26 H27 H28 H29 H30 H31 H32 H33 H34 H35 H36 I7 I8 I9 I10 I11 I12 I13 I14 I15 I16 I17 I18 I19 I20 I21 I22 I23 I24 I25 I26 I27 I28 I29 I30 I31 I32 I33 I34 I35 I36 K7 K8 K9 K10 K11 K12 K13 K14 K15 K16 K17 K18 K19 K20 K21 K22 K23 K24 K25 K26 K27 K28 K29 K30 K31 K32 K33 K34 K35 K36 L7 L8 L9 L10 L11 L12 L13 L14 L15 L16 L17 L18 L19 L20 L21 L22 L23 L24 L25 L26 L27 L28 L29 L30 L31 L32 L33 L34 L35 L36 M7 M8 M9 M10 M11 M12 M13 M14 M15 M16 M17 M18 M19 M20 M21 M22 M23 M24 M25 M26 M27 M28 M29 M30 M31 M32 M33 M34 M35 M36 O7 O8 O9 O10 O11 O12 O13 O14 O15 O16 O17 O18 O19 O20 O21 O22 O23 O24 O25 O26 O27 O28 O29 O30 O31 O32 O33 O34 O35 O36 P7 P8 P9 P10 P11 P12 P13 P14 P15 P16 P17 P18 P19 P20 P21 P22 P23 P24 P25 P26 P27 P28 P29 P30 P31 P32 P33 P34 P35 P36 R7 R8 R9 R10 R11 R12 R13 R14 R15 R16 R17 R18 R19 R20 R21 R22 R23 R24 R25 R26 R27 R28 R29 R30 R31 R32 R33 R34 R35 R36 S7 S8 S9 S10 S11 S12 S13 S14 S15 S16 S17 S18 S19 S20 S21 S22 S23 S24 S25 S26 S27 S28 S29 S30 S31 S32 S33 S34 S35 S36" showDropDown="0" showInputMessage="0" showErrorMessage="0" allowBlank="1" prompt="Ingresa un numero entero mayor o igual a 0." type="whole" operator="greaterThanOrEqual">
      <formula1>0</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W50"/>
  <sheetViews>
    <sheetView showGridLines="1" workbookViewId="0">
      <pane ySplit="6" topLeftCell="A7" activePane="bottomLeft" state="frozen"/>
      <selection pane="bottomLeft" activeCell="A1" sqref="A1"/>
    </sheetView>
  </sheetViews>
  <sheetFormatPr baseColWidth="8" defaultRowHeight="15"/>
  <cols>
    <col width="13" customWidth="1" min="1" max="1"/>
    <col width="7" customWidth="1" min="2" max="2"/>
    <col width="20" customWidth="1" min="3" max="3"/>
    <col width="13" customWidth="1" min="4" max="4"/>
    <col width="18" customWidth="1" min="5" max="5"/>
    <col width="15" customWidth="1" min="6" max="6"/>
    <col width="16" customWidth="1" min="7" max="7"/>
    <col width="10" customWidth="1" min="8" max="8"/>
    <col width="15" customWidth="1" min="9" max="9"/>
    <col width="13" customWidth="1" min="10" max="10"/>
    <col width="20" customWidth="1" min="11" max="11"/>
    <col width="22" customWidth="1" min="12" max="12"/>
    <col width="14" customWidth="1" min="13" max="13"/>
    <col width="13" customWidth="1" min="14" max="14"/>
    <col width="18" customWidth="1" min="15" max="15"/>
    <col width="18" customWidth="1" min="16" max="16"/>
    <col width="17" customWidth="1" min="17" max="17"/>
    <col width="16" customWidth="1" min="18" max="18"/>
    <col width="16" customWidth="1" min="19" max="19"/>
    <col width="34" customWidth="1" min="21" max="21"/>
    <col width="12" customWidth="1" min="22" max="22"/>
  </cols>
  <sheetData>
    <row r="1" ht="20" customHeight="1">
      <c r="A1" s="1" t="inlineStr">
        <is>
          <t>RESUMEN MENSUAL HODOM</t>
        </is>
      </c>
      <c r="U1" s="1" t="inlineStr">
        <is>
          <t>CONTROL</t>
        </is>
      </c>
    </row>
    <row r="2" ht="20" customHeight="1">
      <c r="A2" s="2" t="inlineStr">
        <is>
          <t>Servicio</t>
        </is>
      </c>
      <c r="B2" s="4">
        <f>00_PARAMETROS!B3</f>
        <v/>
      </c>
      <c r="C2" s="2" t="inlineStr">
        <is>
          <t>Codigo</t>
        </is>
      </c>
      <c r="D2" s="4">
        <f>00_PARAMETROS!B4</f>
        <v/>
      </c>
      <c r="E2" s="2" t="inlineStr">
        <is>
          <t>Mes</t>
        </is>
      </c>
      <c r="F2" s="3" t="inlineStr">
        <is>
          <t>JULIO</t>
        </is>
      </c>
      <c r="G2" s="2" t="inlineStr">
        <is>
          <t>Ano</t>
        </is>
      </c>
      <c r="H2" s="3" t="n">
        <v>2025</v>
      </c>
    </row>
    <row r="3" ht="20" customHeight="1">
      <c r="A3" s="2" t="inlineStr">
        <is>
          <t>Camas base</t>
        </is>
      </c>
      <c r="B3" s="4">
        <f>00_PARAMETROS!B5</f>
        <v/>
      </c>
      <c r="C3" s="2" t="inlineStr">
        <is>
          <t>Promedio camas</t>
        </is>
      </c>
      <c r="D3" s="4">
        <f>AVERAGE(P7:P37)</f>
        <v/>
      </c>
      <c r="E3" s="2" t="inlineStr">
        <is>
          <t>Dias del mes</t>
        </is>
      </c>
      <c r="F3" s="3" t="n">
        <v>31</v>
      </c>
      <c r="U3" s="5" t="inlineStr">
        <is>
          <t>Dias con ocupacion negativa</t>
        </is>
      </c>
      <c r="V3" s="4">
        <f>COUNTIF(Q7:Q37,"&lt;0")</f>
        <v/>
      </c>
    </row>
    <row r="4" ht="20" customHeight="1">
      <c r="U4" s="5" t="inlineStr">
        <is>
          <t>Dias sin camas disponibles</t>
        </is>
      </c>
      <c r="V4" s="4">
        <f>COUNTBLANK(P7:P37)</f>
        <v/>
      </c>
    </row>
    <row r="5" ht="20" customHeight="1">
      <c r="U5" s="5" t="inlineStr">
        <is>
          <t>Primer dia sin existencia inicial</t>
        </is>
      </c>
      <c r="V5" s="4">
        <f>IF(C7="",1,0)</f>
        <v/>
      </c>
    </row>
    <row r="6" ht="36" customHeight="1">
      <c r="A6" s="6" t="inlineStr">
        <is>
          <t>Fecha</t>
        </is>
      </c>
      <c r="B6" s="6" t="inlineStr">
        <is>
          <t>Dia</t>
        </is>
      </c>
      <c r="C6" s="6" t="inlineStr">
        <is>
          <t>Existencia dia anterior</t>
        </is>
      </c>
      <c r="D6" s="6" t="inlineStr">
        <is>
          <t>Ing. urgencia</t>
        </is>
      </c>
      <c r="E6" s="6" t="inlineStr">
        <is>
          <t>Ing. hospitalizacion</t>
        </is>
      </c>
      <c r="F6" s="6" t="inlineStr">
        <is>
          <t>Ing. ambulatorio</t>
        </is>
      </c>
      <c r="G6" s="6" t="inlineStr">
        <is>
          <t>Ing. ley urgencia</t>
        </is>
      </c>
      <c r="H6" s="6" t="inlineStr">
        <is>
          <t>Ing. UGCC</t>
        </is>
      </c>
      <c r="I6" s="6" t="inlineStr">
        <is>
          <t>Ing. por traslado</t>
        </is>
      </c>
      <c r="J6" s="6" t="inlineStr">
        <is>
          <t>Total ingresos</t>
        </is>
      </c>
      <c r="K6" s="6" t="inlineStr">
        <is>
          <t>Egr. alta hogar / otro hosp.</t>
        </is>
      </c>
      <c r="L6" s="6" t="inlineStr">
        <is>
          <t>Egr. traslado a otro servicio</t>
        </is>
      </c>
      <c r="M6" s="6" t="inlineStr">
        <is>
          <t>Egr. fallecidos</t>
        </is>
      </c>
      <c r="N6" s="6" t="inlineStr">
        <is>
          <t>Total egresos</t>
        </is>
      </c>
      <c r="O6" s="6" t="inlineStr">
        <is>
          <t>Ingr.-egr. mismo dia</t>
        </is>
      </c>
      <c r="P6" s="6" t="inlineStr">
        <is>
          <t>Dias cama disponibles</t>
        </is>
      </c>
      <c r="Q6" s="6" t="inlineStr">
        <is>
          <t>Dias cama ocupadas</t>
        </is>
      </c>
      <c r="R6" s="6" t="inlineStr">
        <is>
          <t>Dias estada total</t>
        </is>
      </c>
      <c r="S6" s="6" t="inlineStr">
        <is>
          <t>Dias estada benef.</t>
        </is>
      </c>
      <c r="U6" s="5" t="inlineStr">
        <is>
          <t>Dias con total ingresos manualmente alterado</t>
        </is>
      </c>
      <c r="V6" s="4" t="inlineStr">
        <is>
          <t>0</t>
        </is>
      </c>
    </row>
    <row r="7" ht="20" customHeight="1">
      <c r="A7" s="4">
        <f>DATE(2025,7,1)</f>
        <v/>
      </c>
      <c r="B7" s="4" t="n">
        <v>1</v>
      </c>
      <c r="C7" s="3" t="n"/>
      <c r="D7" s="3" t="n"/>
      <c r="E7" s="3" t="n"/>
      <c r="F7" s="3" t="n"/>
      <c r="G7" s="3" t="n"/>
      <c r="H7" s="3" t="n"/>
      <c r="I7" s="3" t="n"/>
      <c r="J7" s="4">
        <f>SUM(D7:H7)+I7</f>
        <v/>
      </c>
      <c r="K7" s="3" t="n"/>
      <c r="L7" s="3" t="n"/>
      <c r="M7" s="3" t="n"/>
      <c r="N7" s="4">
        <f>SUM(K7:M7)</f>
        <v/>
      </c>
      <c r="O7" s="3" t="n"/>
      <c r="P7" s="3">
        <f>00_PARAMETROS!B5</f>
        <v/>
      </c>
      <c r="Q7" s="4">
        <f>C7+J7-N7</f>
        <v/>
      </c>
      <c r="R7" s="3" t="n"/>
      <c r="S7" s="3" t="n"/>
      <c r="U7" s="5" t="inlineStr">
        <is>
          <t>Dias con total egresos manualmente alterado</t>
        </is>
      </c>
      <c r="V7" s="4" t="inlineStr">
        <is>
          <t>0</t>
        </is>
      </c>
    </row>
    <row r="8" ht="20" customHeight="1">
      <c r="A8" s="4">
        <f>DATE(2025,7,2)</f>
        <v/>
      </c>
      <c r="B8" s="4" t="n">
        <v>2</v>
      </c>
      <c r="C8" s="4">
        <f>Q7</f>
        <v/>
      </c>
      <c r="D8" s="3" t="n"/>
      <c r="E8" s="3" t="n"/>
      <c r="F8" s="3" t="n"/>
      <c r="G8" s="3" t="n"/>
      <c r="H8" s="3" t="n"/>
      <c r="I8" s="3" t="n"/>
      <c r="J8" s="4">
        <f>SUM(D8:H8)+I8</f>
        <v/>
      </c>
      <c r="K8" s="3" t="n"/>
      <c r="L8" s="3" t="n"/>
      <c r="M8" s="3" t="n"/>
      <c r="N8" s="4">
        <f>SUM(K8:M8)</f>
        <v/>
      </c>
      <c r="O8" s="3" t="n"/>
      <c r="P8" s="3">
        <f>00_PARAMETROS!B5</f>
        <v/>
      </c>
      <c r="Q8" s="4">
        <f>C8+J8-N8</f>
        <v/>
      </c>
      <c r="R8" s="3" t="n"/>
      <c r="S8" s="3" t="n"/>
    </row>
    <row r="9" ht="20" customHeight="1">
      <c r="A9" s="4">
        <f>DATE(2025,7,3)</f>
        <v/>
      </c>
      <c r="B9" s="4" t="n">
        <v>3</v>
      </c>
      <c r="C9" s="4">
        <f>Q8</f>
        <v/>
      </c>
      <c r="D9" s="3" t="n"/>
      <c r="E9" s="3" t="n"/>
      <c r="F9" s="3" t="n"/>
      <c r="G9" s="3" t="n"/>
      <c r="H9" s="3" t="n"/>
      <c r="I9" s="3" t="n"/>
      <c r="J9" s="4">
        <f>SUM(D9:H9)+I9</f>
        <v/>
      </c>
      <c r="K9" s="3" t="n"/>
      <c r="L9" s="3" t="n"/>
      <c r="M9" s="3" t="n"/>
      <c r="N9" s="4">
        <f>SUM(K9:M9)</f>
        <v/>
      </c>
      <c r="O9" s="3" t="n"/>
      <c r="P9" s="3">
        <f>00_PARAMETROS!B5</f>
        <v/>
      </c>
      <c r="Q9" s="4">
        <f>C9+J9-N9</f>
        <v/>
      </c>
      <c r="R9" s="3" t="n"/>
      <c r="S9" s="3" t="n"/>
    </row>
    <row r="10" ht="20" customHeight="1">
      <c r="A10" s="4">
        <f>DATE(2025,7,4)</f>
        <v/>
      </c>
      <c r="B10" s="4" t="n">
        <v>4</v>
      </c>
      <c r="C10" s="4">
        <f>Q9</f>
        <v/>
      </c>
      <c r="D10" s="3" t="n"/>
      <c r="E10" s="3" t="n"/>
      <c r="F10" s="3" t="n"/>
      <c r="G10" s="3" t="n"/>
      <c r="H10" s="3" t="n"/>
      <c r="I10" s="3" t="n"/>
      <c r="J10" s="4">
        <f>SUM(D10:H10)+I10</f>
        <v/>
      </c>
      <c r="K10" s="3" t="n"/>
      <c r="L10" s="3" t="n"/>
      <c r="M10" s="3" t="n"/>
      <c r="N10" s="4">
        <f>SUM(K10:M10)</f>
        <v/>
      </c>
      <c r="O10" s="3" t="n"/>
      <c r="P10" s="3">
        <f>00_PARAMETROS!B5</f>
        <v/>
      </c>
      <c r="Q10" s="4">
        <f>C10+J10-N10</f>
        <v/>
      </c>
      <c r="R10" s="3" t="n"/>
      <c r="S10" s="3" t="n"/>
    </row>
    <row r="11" ht="20" customHeight="1">
      <c r="A11" s="4">
        <f>DATE(2025,7,5)</f>
        <v/>
      </c>
      <c r="B11" s="4" t="n">
        <v>5</v>
      </c>
      <c r="C11" s="4">
        <f>Q10</f>
        <v/>
      </c>
      <c r="D11" s="3" t="n"/>
      <c r="E11" s="3" t="n"/>
      <c r="F11" s="3" t="n"/>
      <c r="G11" s="3" t="n"/>
      <c r="H11" s="3" t="n"/>
      <c r="I11" s="3" t="n"/>
      <c r="J11" s="4">
        <f>SUM(D11:H11)+I11</f>
        <v/>
      </c>
      <c r="K11" s="3" t="n"/>
      <c r="L11" s="3" t="n"/>
      <c r="M11" s="3" t="n"/>
      <c r="N11" s="4">
        <f>SUM(K11:M11)</f>
        <v/>
      </c>
      <c r="O11" s="3" t="n"/>
      <c r="P11" s="3">
        <f>00_PARAMETROS!B5</f>
        <v/>
      </c>
      <c r="Q11" s="4">
        <f>C11+J11-N11</f>
        <v/>
      </c>
      <c r="R11" s="3" t="n"/>
      <c r="S11" s="3" t="n"/>
    </row>
    <row r="12" ht="20" customHeight="1">
      <c r="A12" s="4">
        <f>DATE(2025,7,6)</f>
        <v/>
      </c>
      <c r="B12" s="4" t="n">
        <v>6</v>
      </c>
      <c r="C12" s="4">
        <f>Q11</f>
        <v/>
      </c>
      <c r="D12" s="3" t="n"/>
      <c r="E12" s="3" t="n"/>
      <c r="F12" s="3" t="n"/>
      <c r="G12" s="3" t="n"/>
      <c r="H12" s="3" t="n"/>
      <c r="I12" s="3" t="n"/>
      <c r="J12" s="4">
        <f>SUM(D12:H12)+I12</f>
        <v/>
      </c>
      <c r="K12" s="3" t="n"/>
      <c r="L12" s="3" t="n"/>
      <c r="M12" s="3" t="n"/>
      <c r="N12" s="4">
        <f>SUM(K12:M12)</f>
        <v/>
      </c>
      <c r="O12" s="3" t="n"/>
      <c r="P12" s="3">
        <f>00_PARAMETROS!B5</f>
        <v/>
      </c>
      <c r="Q12" s="4">
        <f>C12+J12-N12</f>
        <v/>
      </c>
      <c r="R12" s="3" t="n"/>
      <c r="S12" s="3" t="n"/>
    </row>
    <row r="13" ht="20" customHeight="1">
      <c r="A13" s="4">
        <f>DATE(2025,7,7)</f>
        <v/>
      </c>
      <c r="B13" s="4" t="n">
        <v>7</v>
      </c>
      <c r="C13" s="4">
        <f>Q12</f>
        <v/>
      </c>
      <c r="D13" s="3" t="n"/>
      <c r="E13" s="3" t="n"/>
      <c r="F13" s="3" t="n"/>
      <c r="G13" s="3" t="n"/>
      <c r="H13" s="3" t="n"/>
      <c r="I13" s="3" t="n"/>
      <c r="J13" s="4">
        <f>SUM(D13:H13)+I13</f>
        <v/>
      </c>
      <c r="K13" s="3" t="n"/>
      <c r="L13" s="3" t="n"/>
      <c r="M13" s="3" t="n"/>
      <c r="N13" s="4">
        <f>SUM(K13:M13)</f>
        <v/>
      </c>
      <c r="O13" s="3" t="n"/>
      <c r="P13" s="3">
        <f>00_PARAMETROS!B5</f>
        <v/>
      </c>
      <c r="Q13" s="4">
        <f>C13+J13-N13</f>
        <v/>
      </c>
      <c r="R13" s="3" t="n"/>
      <c r="S13" s="3" t="n"/>
    </row>
    <row r="14" ht="20" customHeight="1">
      <c r="A14" s="4">
        <f>DATE(2025,7,8)</f>
        <v/>
      </c>
      <c r="B14" s="4" t="n">
        <v>8</v>
      </c>
      <c r="C14" s="4">
        <f>Q13</f>
        <v/>
      </c>
      <c r="D14" s="3" t="n"/>
      <c r="E14" s="3" t="n"/>
      <c r="F14" s="3" t="n"/>
      <c r="G14" s="3" t="n"/>
      <c r="H14" s="3" t="n"/>
      <c r="I14" s="3" t="n"/>
      <c r="J14" s="4">
        <f>SUM(D14:H14)+I14</f>
        <v/>
      </c>
      <c r="K14" s="3" t="n"/>
      <c r="L14" s="3" t="n"/>
      <c r="M14" s="3" t="n"/>
      <c r="N14" s="4">
        <f>SUM(K14:M14)</f>
        <v/>
      </c>
      <c r="O14" s="3" t="n"/>
      <c r="P14" s="3">
        <f>00_PARAMETROS!B5</f>
        <v/>
      </c>
      <c r="Q14" s="4">
        <f>C14+J14-N14</f>
        <v/>
      </c>
      <c r="R14" s="3" t="n"/>
      <c r="S14" s="3" t="n"/>
    </row>
    <row r="15" ht="20" customHeight="1">
      <c r="A15" s="4">
        <f>DATE(2025,7,9)</f>
        <v/>
      </c>
      <c r="B15" s="4" t="n">
        <v>9</v>
      </c>
      <c r="C15" s="4">
        <f>Q14</f>
        <v/>
      </c>
      <c r="D15" s="3" t="n"/>
      <c r="E15" s="3" t="n"/>
      <c r="F15" s="3" t="n"/>
      <c r="G15" s="3" t="n"/>
      <c r="H15" s="3" t="n"/>
      <c r="I15" s="3" t="n"/>
      <c r="J15" s="4">
        <f>SUM(D15:H15)+I15</f>
        <v/>
      </c>
      <c r="K15" s="3" t="n"/>
      <c r="L15" s="3" t="n"/>
      <c r="M15" s="3" t="n"/>
      <c r="N15" s="4">
        <f>SUM(K15:M15)</f>
        <v/>
      </c>
      <c r="O15" s="3" t="n"/>
      <c r="P15" s="3">
        <f>00_PARAMETROS!B5</f>
        <v/>
      </c>
      <c r="Q15" s="4">
        <f>C15+J15-N15</f>
        <v/>
      </c>
      <c r="R15" s="3" t="n"/>
      <c r="S15" s="3" t="n"/>
    </row>
    <row r="16" ht="20" customHeight="1">
      <c r="A16" s="4">
        <f>DATE(2025,7,10)</f>
        <v/>
      </c>
      <c r="B16" s="4" t="n">
        <v>10</v>
      </c>
      <c r="C16" s="4">
        <f>Q15</f>
        <v/>
      </c>
      <c r="D16" s="3" t="n"/>
      <c r="E16" s="3" t="n"/>
      <c r="F16" s="3" t="n"/>
      <c r="G16" s="3" t="n"/>
      <c r="H16" s="3" t="n"/>
      <c r="I16" s="3" t="n"/>
      <c r="J16" s="4">
        <f>SUM(D16:H16)+I16</f>
        <v/>
      </c>
      <c r="K16" s="3" t="n"/>
      <c r="L16" s="3" t="n"/>
      <c r="M16" s="3" t="n"/>
      <c r="N16" s="4">
        <f>SUM(K16:M16)</f>
        <v/>
      </c>
      <c r="O16" s="3" t="n"/>
      <c r="P16" s="3">
        <f>00_PARAMETROS!B5</f>
        <v/>
      </c>
      <c r="Q16" s="4">
        <f>C16+J16-N16</f>
        <v/>
      </c>
      <c r="R16" s="3" t="n"/>
      <c r="S16" s="3" t="n"/>
    </row>
    <row r="17" ht="20" customHeight="1">
      <c r="A17" s="4">
        <f>DATE(2025,7,11)</f>
        <v/>
      </c>
      <c r="B17" s="4" t="n">
        <v>11</v>
      </c>
      <c r="C17" s="4">
        <f>Q16</f>
        <v/>
      </c>
      <c r="D17" s="3" t="n"/>
      <c r="E17" s="3" t="n"/>
      <c r="F17" s="3" t="n"/>
      <c r="G17" s="3" t="n"/>
      <c r="H17" s="3" t="n"/>
      <c r="I17" s="3" t="n"/>
      <c r="J17" s="4">
        <f>SUM(D17:H17)+I17</f>
        <v/>
      </c>
      <c r="K17" s="3" t="n"/>
      <c r="L17" s="3" t="n"/>
      <c r="M17" s="3" t="n"/>
      <c r="N17" s="4">
        <f>SUM(K17:M17)</f>
        <v/>
      </c>
      <c r="O17" s="3" t="n"/>
      <c r="P17" s="3">
        <f>00_PARAMETROS!B5</f>
        <v/>
      </c>
      <c r="Q17" s="4">
        <f>C17+J17-N17</f>
        <v/>
      </c>
      <c r="R17" s="3" t="n"/>
      <c r="S17" s="3" t="n"/>
    </row>
    <row r="18" ht="20" customHeight="1">
      <c r="A18" s="4">
        <f>DATE(2025,7,12)</f>
        <v/>
      </c>
      <c r="B18" s="4" t="n">
        <v>12</v>
      </c>
      <c r="C18" s="4">
        <f>Q17</f>
        <v/>
      </c>
      <c r="D18" s="3" t="n"/>
      <c r="E18" s="3" t="n"/>
      <c r="F18" s="3" t="n"/>
      <c r="G18" s="3" t="n"/>
      <c r="H18" s="3" t="n"/>
      <c r="I18" s="3" t="n"/>
      <c r="J18" s="4">
        <f>SUM(D18:H18)+I18</f>
        <v/>
      </c>
      <c r="K18" s="3" t="n"/>
      <c r="L18" s="3" t="n"/>
      <c r="M18" s="3" t="n"/>
      <c r="N18" s="4">
        <f>SUM(K18:M18)</f>
        <v/>
      </c>
      <c r="O18" s="3" t="n"/>
      <c r="P18" s="3">
        <f>00_PARAMETROS!B5</f>
        <v/>
      </c>
      <c r="Q18" s="4">
        <f>C18+J18-N18</f>
        <v/>
      </c>
      <c r="R18" s="3" t="n"/>
      <c r="S18" s="3" t="n"/>
    </row>
    <row r="19" ht="20" customHeight="1">
      <c r="A19" s="4">
        <f>DATE(2025,7,13)</f>
        <v/>
      </c>
      <c r="B19" s="4" t="n">
        <v>13</v>
      </c>
      <c r="C19" s="4">
        <f>Q18</f>
        <v/>
      </c>
      <c r="D19" s="3" t="n"/>
      <c r="E19" s="3" t="n"/>
      <c r="F19" s="3" t="n"/>
      <c r="G19" s="3" t="n"/>
      <c r="H19" s="3" t="n"/>
      <c r="I19" s="3" t="n"/>
      <c r="J19" s="4">
        <f>SUM(D19:H19)+I19</f>
        <v/>
      </c>
      <c r="K19" s="3" t="n"/>
      <c r="L19" s="3" t="n"/>
      <c r="M19" s="3" t="n"/>
      <c r="N19" s="4">
        <f>SUM(K19:M19)</f>
        <v/>
      </c>
      <c r="O19" s="3" t="n"/>
      <c r="P19" s="3">
        <f>00_PARAMETROS!B5</f>
        <v/>
      </c>
      <c r="Q19" s="4">
        <f>C19+J19-N19</f>
        <v/>
      </c>
      <c r="R19" s="3" t="n"/>
      <c r="S19" s="3" t="n"/>
    </row>
    <row r="20" ht="20" customHeight="1">
      <c r="A20" s="4">
        <f>DATE(2025,7,14)</f>
        <v/>
      </c>
      <c r="B20" s="4" t="n">
        <v>14</v>
      </c>
      <c r="C20" s="4">
        <f>Q19</f>
        <v/>
      </c>
      <c r="D20" s="3" t="n"/>
      <c r="E20" s="3" t="n"/>
      <c r="F20" s="3" t="n"/>
      <c r="G20" s="3" t="n"/>
      <c r="H20" s="3" t="n"/>
      <c r="I20" s="3" t="n"/>
      <c r="J20" s="4">
        <f>SUM(D20:H20)+I20</f>
        <v/>
      </c>
      <c r="K20" s="3" t="n"/>
      <c r="L20" s="3" t="n"/>
      <c r="M20" s="3" t="n"/>
      <c r="N20" s="4">
        <f>SUM(K20:M20)</f>
        <v/>
      </c>
      <c r="O20" s="3" t="n"/>
      <c r="P20" s="3">
        <f>00_PARAMETROS!B5</f>
        <v/>
      </c>
      <c r="Q20" s="4">
        <f>C20+J20-N20</f>
        <v/>
      </c>
      <c r="R20" s="3" t="n"/>
      <c r="S20" s="3" t="n"/>
    </row>
    <row r="21" ht="20" customHeight="1">
      <c r="A21" s="4">
        <f>DATE(2025,7,15)</f>
        <v/>
      </c>
      <c r="B21" s="4" t="n">
        <v>15</v>
      </c>
      <c r="C21" s="4">
        <f>Q20</f>
        <v/>
      </c>
      <c r="D21" s="3" t="n"/>
      <c r="E21" s="3" t="n"/>
      <c r="F21" s="3" t="n"/>
      <c r="G21" s="3" t="n"/>
      <c r="H21" s="3" t="n"/>
      <c r="I21" s="3" t="n"/>
      <c r="J21" s="4">
        <f>SUM(D21:H21)+I21</f>
        <v/>
      </c>
      <c r="K21" s="3" t="n"/>
      <c r="L21" s="3" t="n"/>
      <c r="M21" s="3" t="n"/>
      <c r="N21" s="4">
        <f>SUM(K21:M21)</f>
        <v/>
      </c>
      <c r="O21" s="3" t="n"/>
      <c r="P21" s="3">
        <f>00_PARAMETROS!B5</f>
        <v/>
      </c>
      <c r="Q21" s="4">
        <f>C21+J21-N21</f>
        <v/>
      </c>
      <c r="R21" s="3" t="n"/>
      <c r="S21" s="3" t="n"/>
    </row>
    <row r="22" ht="20" customHeight="1">
      <c r="A22" s="4">
        <f>DATE(2025,7,16)</f>
        <v/>
      </c>
      <c r="B22" s="4" t="n">
        <v>16</v>
      </c>
      <c r="C22" s="4">
        <f>Q21</f>
        <v/>
      </c>
      <c r="D22" s="3" t="n"/>
      <c r="E22" s="3" t="n"/>
      <c r="F22" s="3" t="n"/>
      <c r="G22" s="3" t="n"/>
      <c r="H22" s="3" t="n"/>
      <c r="I22" s="3" t="n"/>
      <c r="J22" s="4">
        <f>SUM(D22:H22)+I22</f>
        <v/>
      </c>
      <c r="K22" s="3" t="n"/>
      <c r="L22" s="3" t="n"/>
      <c r="M22" s="3" t="n"/>
      <c r="N22" s="4">
        <f>SUM(K22:M22)</f>
        <v/>
      </c>
      <c r="O22" s="3" t="n"/>
      <c r="P22" s="3">
        <f>00_PARAMETROS!B5</f>
        <v/>
      </c>
      <c r="Q22" s="4">
        <f>C22+J22-N22</f>
        <v/>
      </c>
      <c r="R22" s="3" t="n"/>
      <c r="S22" s="3" t="n"/>
    </row>
    <row r="23" ht="20" customHeight="1">
      <c r="A23" s="4">
        <f>DATE(2025,7,17)</f>
        <v/>
      </c>
      <c r="B23" s="4" t="n">
        <v>17</v>
      </c>
      <c r="C23" s="4">
        <f>Q22</f>
        <v/>
      </c>
      <c r="D23" s="3" t="n"/>
      <c r="E23" s="3" t="n"/>
      <c r="F23" s="3" t="n"/>
      <c r="G23" s="3" t="n"/>
      <c r="H23" s="3" t="n"/>
      <c r="I23" s="3" t="n"/>
      <c r="J23" s="4">
        <f>SUM(D23:H23)+I23</f>
        <v/>
      </c>
      <c r="K23" s="3" t="n"/>
      <c r="L23" s="3" t="n"/>
      <c r="M23" s="3" t="n"/>
      <c r="N23" s="4">
        <f>SUM(K23:M23)</f>
        <v/>
      </c>
      <c r="O23" s="3" t="n"/>
      <c r="P23" s="3">
        <f>00_PARAMETROS!B5</f>
        <v/>
      </c>
      <c r="Q23" s="4">
        <f>C23+J23-N23</f>
        <v/>
      </c>
      <c r="R23" s="3" t="n"/>
      <c r="S23" s="3" t="n"/>
    </row>
    <row r="24" ht="20" customHeight="1">
      <c r="A24" s="4">
        <f>DATE(2025,7,18)</f>
        <v/>
      </c>
      <c r="B24" s="4" t="n">
        <v>18</v>
      </c>
      <c r="C24" s="4">
        <f>Q23</f>
        <v/>
      </c>
      <c r="D24" s="3" t="n"/>
      <c r="E24" s="3" t="n"/>
      <c r="F24" s="3" t="n"/>
      <c r="G24" s="3" t="n"/>
      <c r="H24" s="3" t="n"/>
      <c r="I24" s="3" t="n"/>
      <c r="J24" s="4">
        <f>SUM(D24:H24)+I24</f>
        <v/>
      </c>
      <c r="K24" s="3" t="n"/>
      <c r="L24" s="3" t="n"/>
      <c r="M24" s="3" t="n"/>
      <c r="N24" s="4">
        <f>SUM(K24:M24)</f>
        <v/>
      </c>
      <c r="O24" s="3" t="n"/>
      <c r="P24" s="3">
        <f>00_PARAMETROS!B5</f>
        <v/>
      </c>
      <c r="Q24" s="4">
        <f>C24+J24-N24</f>
        <v/>
      </c>
      <c r="R24" s="3" t="n"/>
      <c r="S24" s="3" t="n"/>
    </row>
    <row r="25" ht="20" customHeight="1">
      <c r="A25" s="4">
        <f>DATE(2025,7,19)</f>
        <v/>
      </c>
      <c r="B25" s="4" t="n">
        <v>19</v>
      </c>
      <c r="C25" s="4">
        <f>Q24</f>
        <v/>
      </c>
      <c r="D25" s="3" t="n"/>
      <c r="E25" s="3" t="n"/>
      <c r="F25" s="3" t="n"/>
      <c r="G25" s="3" t="n"/>
      <c r="H25" s="3" t="n"/>
      <c r="I25" s="3" t="n"/>
      <c r="J25" s="4">
        <f>SUM(D25:H25)+I25</f>
        <v/>
      </c>
      <c r="K25" s="3" t="n"/>
      <c r="L25" s="3" t="n"/>
      <c r="M25" s="3" t="n"/>
      <c r="N25" s="4">
        <f>SUM(K25:M25)</f>
        <v/>
      </c>
      <c r="O25" s="3" t="n"/>
      <c r="P25" s="3">
        <f>00_PARAMETROS!B5</f>
        <v/>
      </c>
      <c r="Q25" s="4">
        <f>C25+J25-N25</f>
        <v/>
      </c>
      <c r="R25" s="3" t="n"/>
      <c r="S25" s="3" t="n"/>
    </row>
    <row r="26" ht="20" customHeight="1">
      <c r="A26" s="4">
        <f>DATE(2025,7,20)</f>
        <v/>
      </c>
      <c r="B26" s="4" t="n">
        <v>20</v>
      </c>
      <c r="C26" s="4">
        <f>Q25</f>
        <v/>
      </c>
      <c r="D26" s="3" t="n"/>
      <c r="E26" s="3" t="n"/>
      <c r="F26" s="3" t="n"/>
      <c r="G26" s="3" t="n"/>
      <c r="H26" s="3" t="n"/>
      <c r="I26" s="3" t="n"/>
      <c r="J26" s="4">
        <f>SUM(D26:H26)+I26</f>
        <v/>
      </c>
      <c r="K26" s="3" t="n"/>
      <c r="L26" s="3" t="n"/>
      <c r="M26" s="3" t="n"/>
      <c r="N26" s="4">
        <f>SUM(K26:M26)</f>
        <v/>
      </c>
      <c r="O26" s="3" t="n"/>
      <c r="P26" s="3">
        <f>00_PARAMETROS!B5</f>
        <v/>
      </c>
      <c r="Q26" s="4">
        <f>C26+J26-N26</f>
        <v/>
      </c>
      <c r="R26" s="3" t="n"/>
      <c r="S26" s="3" t="n"/>
    </row>
    <row r="27" ht="20" customHeight="1">
      <c r="A27" s="4">
        <f>DATE(2025,7,21)</f>
        <v/>
      </c>
      <c r="B27" s="4" t="n">
        <v>21</v>
      </c>
      <c r="C27" s="4">
        <f>Q26</f>
        <v/>
      </c>
      <c r="D27" s="3" t="n"/>
      <c r="E27" s="3" t="n"/>
      <c r="F27" s="3" t="n"/>
      <c r="G27" s="3" t="n"/>
      <c r="H27" s="3" t="n"/>
      <c r="I27" s="3" t="n"/>
      <c r="J27" s="4">
        <f>SUM(D27:H27)+I27</f>
        <v/>
      </c>
      <c r="K27" s="3" t="n"/>
      <c r="L27" s="3" t="n"/>
      <c r="M27" s="3" t="n"/>
      <c r="N27" s="4">
        <f>SUM(K27:M27)</f>
        <v/>
      </c>
      <c r="O27" s="3" t="n"/>
      <c r="P27" s="3">
        <f>00_PARAMETROS!B5</f>
        <v/>
      </c>
      <c r="Q27" s="4">
        <f>C27+J27-N27</f>
        <v/>
      </c>
      <c r="R27" s="3" t="n"/>
      <c r="S27" s="3" t="n"/>
    </row>
    <row r="28" ht="20" customHeight="1">
      <c r="A28" s="4">
        <f>DATE(2025,7,22)</f>
        <v/>
      </c>
      <c r="B28" s="4" t="n">
        <v>22</v>
      </c>
      <c r="C28" s="4">
        <f>Q27</f>
        <v/>
      </c>
      <c r="D28" s="3" t="n"/>
      <c r="E28" s="3" t="n"/>
      <c r="F28" s="3" t="n"/>
      <c r="G28" s="3" t="n"/>
      <c r="H28" s="3" t="n"/>
      <c r="I28" s="3" t="n"/>
      <c r="J28" s="4">
        <f>SUM(D28:H28)+I28</f>
        <v/>
      </c>
      <c r="K28" s="3" t="n"/>
      <c r="L28" s="3" t="n"/>
      <c r="M28" s="3" t="n"/>
      <c r="N28" s="4">
        <f>SUM(K28:M28)</f>
        <v/>
      </c>
      <c r="O28" s="3" t="n"/>
      <c r="P28" s="3">
        <f>00_PARAMETROS!B5</f>
        <v/>
      </c>
      <c r="Q28" s="4">
        <f>C28+J28-N28</f>
        <v/>
      </c>
      <c r="R28" s="3" t="n"/>
      <c r="S28" s="3" t="n"/>
    </row>
    <row r="29" ht="20" customHeight="1">
      <c r="A29" s="4">
        <f>DATE(2025,7,23)</f>
        <v/>
      </c>
      <c r="B29" s="4" t="n">
        <v>23</v>
      </c>
      <c r="C29" s="4">
        <f>Q28</f>
        <v/>
      </c>
      <c r="D29" s="3" t="n"/>
      <c r="E29" s="3" t="n"/>
      <c r="F29" s="3" t="n"/>
      <c r="G29" s="3" t="n"/>
      <c r="H29" s="3" t="n"/>
      <c r="I29" s="3" t="n"/>
      <c r="J29" s="4">
        <f>SUM(D29:H29)+I29</f>
        <v/>
      </c>
      <c r="K29" s="3" t="n"/>
      <c r="L29" s="3" t="n"/>
      <c r="M29" s="3" t="n"/>
      <c r="N29" s="4">
        <f>SUM(K29:M29)</f>
        <v/>
      </c>
      <c r="O29" s="3" t="n"/>
      <c r="P29" s="3">
        <f>00_PARAMETROS!B5</f>
        <v/>
      </c>
      <c r="Q29" s="4">
        <f>C29+J29-N29</f>
        <v/>
      </c>
      <c r="R29" s="3" t="n"/>
      <c r="S29" s="3" t="n"/>
    </row>
    <row r="30" ht="20" customHeight="1">
      <c r="A30" s="4">
        <f>DATE(2025,7,24)</f>
        <v/>
      </c>
      <c r="B30" s="4" t="n">
        <v>24</v>
      </c>
      <c r="C30" s="4">
        <f>Q29</f>
        <v/>
      </c>
      <c r="D30" s="3" t="n"/>
      <c r="E30" s="3" t="n"/>
      <c r="F30" s="3" t="n"/>
      <c r="G30" s="3" t="n"/>
      <c r="H30" s="3" t="n"/>
      <c r="I30" s="3" t="n"/>
      <c r="J30" s="4">
        <f>SUM(D30:H30)+I30</f>
        <v/>
      </c>
      <c r="K30" s="3" t="n"/>
      <c r="L30" s="3" t="n"/>
      <c r="M30" s="3" t="n"/>
      <c r="N30" s="4">
        <f>SUM(K30:M30)</f>
        <v/>
      </c>
      <c r="O30" s="3" t="n"/>
      <c r="P30" s="3">
        <f>00_PARAMETROS!B5</f>
        <v/>
      </c>
      <c r="Q30" s="4">
        <f>C30+J30-N30</f>
        <v/>
      </c>
      <c r="R30" s="3" t="n"/>
      <c r="S30" s="3" t="n"/>
    </row>
    <row r="31" ht="20" customHeight="1">
      <c r="A31" s="4">
        <f>DATE(2025,7,25)</f>
        <v/>
      </c>
      <c r="B31" s="4" t="n">
        <v>25</v>
      </c>
      <c r="C31" s="4">
        <f>Q30</f>
        <v/>
      </c>
      <c r="D31" s="3" t="n"/>
      <c r="E31" s="3" t="n"/>
      <c r="F31" s="3" t="n"/>
      <c r="G31" s="3" t="n"/>
      <c r="H31" s="3" t="n"/>
      <c r="I31" s="3" t="n"/>
      <c r="J31" s="4">
        <f>SUM(D31:H31)+I31</f>
        <v/>
      </c>
      <c r="K31" s="3" t="n"/>
      <c r="L31" s="3" t="n"/>
      <c r="M31" s="3" t="n"/>
      <c r="N31" s="4">
        <f>SUM(K31:M31)</f>
        <v/>
      </c>
      <c r="O31" s="3" t="n"/>
      <c r="P31" s="3">
        <f>00_PARAMETROS!B5</f>
        <v/>
      </c>
      <c r="Q31" s="4">
        <f>C31+J31-N31</f>
        <v/>
      </c>
      <c r="R31" s="3" t="n"/>
      <c r="S31" s="3" t="n"/>
    </row>
    <row r="32" ht="20" customHeight="1">
      <c r="A32" s="4">
        <f>DATE(2025,7,26)</f>
        <v/>
      </c>
      <c r="B32" s="4" t="n">
        <v>26</v>
      </c>
      <c r="C32" s="4">
        <f>Q31</f>
        <v/>
      </c>
      <c r="D32" s="3" t="n"/>
      <c r="E32" s="3" t="n"/>
      <c r="F32" s="3" t="n"/>
      <c r="G32" s="3" t="n"/>
      <c r="H32" s="3" t="n"/>
      <c r="I32" s="3" t="n"/>
      <c r="J32" s="4">
        <f>SUM(D32:H32)+I32</f>
        <v/>
      </c>
      <c r="K32" s="3" t="n"/>
      <c r="L32" s="3" t="n"/>
      <c r="M32" s="3" t="n"/>
      <c r="N32" s="4">
        <f>SUM(K32:M32)</f>
        <v/>
      </c>
      <c r="O32" s="3" t="n"/>
      <c r="P32" s="3">
        <f>00_PARAMETROS!B5</f>
        <v/>
      </c>
      <c r="Q32" s="4">
        <f>C32+J32-N32</f>
        <v/>
      </c>
      <c r="R32" s="3" t="n"/>
      <c r="S32" s="3" t="n"/>
    </row>
    <row r="33" ht="20" customHeight="1">
      <c r="A33" s="4">
        <f>DATE(2025,7,27)</f>
        <v/>
      </c>
      <c r="B33" s="4" t="n">
        <v>27</v>
      </c>
      <c r="C33" s="4">
        <f>Q32</f>
        <v/>
      </c>
      <c r="D33" s="3" t="n"/>
      <c r="E33" s="3" t="n"/>
      <c r="F33" s="3" t="n"/>
      <c r="G33" s="3" t="n"/>
      <c r="H33" s="3" t="n"/>
      <c r="I33" s="3" t="n"/>
      <c r="J33" s="4">
        <f>SUM(D33:H33)+I33</f>
        <v/>
      </c>
      <c r="K33" s="3" t="n"/>
      <c r="L33" s="3" t="n"/>
      <c r="M33" s="3" t="n"/>
      <c r="N33" s="4">
        <f>SUM(K33:M33)</f>
        <v/>
      </c>
      <c r="O33" s="3" t="n"/>
      <c r="P33" s="3">
        <f>00_PARAMETROS!B5</f>
        <v/>
      </c>
      <c r="Q33" s="4">
        <f>C33+J33-N33</f>
        <v/>
      </c>
      <c r="R33" s="3" t="n"/>
      <c r="S33" s="3" t="n"/>
    </row>
    <row r="34" ht="20" customHeight="1">
      <c r="A34" s="4">
        <f>DATE(2025,7,28)</f>
        <v/>
      </c>
      <c r="B34" s="4" t="n">
        <v>28</v>
      </c>
      <c r="C34" s="4">
        <f>Q33</f>
        <v/>
      </c>
      <c r="D34" s="3" t="n"/>
      <c r="E34" s="3" t="n"/>
      <c r="F34" s="3" t="n"/>
      <c r="G34" s="3" t="n"/>
      <c r="H34" s="3" t="n"/>
      <c r="I34" s="3" t="n"/>
      <c r="J34" s="4">
        <f>SUM(D34:H34)+I34</f>
        <v/>
      </c>
      <c r="K34" s="3" t="n"/>
      <c r="L34" s="3" t="n"/>
      <c r="M34" s="3" t="n"/>
      <c r="N34" s="4">
        <f>SUM(K34:M34)</f>
        <v/>
      </c>
      <c r="O34" s="3" t="n"/>
      <c r="P34" s="3">
        <f>00_PARAMETROS!B5</f>
        <v/>
      </c>
      <c r="Q34" s="4">
        <f>C34+J34-N34</f>
        <v/>
      </c>
      <c r="R34" s="3" t="n"/>
      <c r="S34" s="3" t="n"/>
    </row>
    <row r="35" ht="20" customHeight="1">
      <c r="A35" s="4">
        <f>DATE(2025,7,29)</f>
        <v/>
      </c>
      <c r="B35" s="4" t="n">
        <v>29</v>
      </c>
      <c r="C35" s="4">
        <f>Q34</f>
        <v/>
      </c>
      <c r="D35" s="3" t="n"/>
      <c r="E35" s="3" t="n"/>
      <c r="F35" s="3" t="n"/>
      <c r="G35" s="3" t="n"/>
      <c r="H35" s="3" t="n"/>
      <c r="I35" s="3" t="n"/>
      <c r="J35" s="4">
        <f>SUM(D35:H35)+I35</f>
        <v/>
      </c>
      <c r="K35" s="3" t="n"/>
      <c r="L35" s="3" t="n"/>
      <c r="M35" s="3" t="n"/>
      <c r="N35" s="4">
        <f>SUM(K35:M35)</f>
        <v/>
      </c>
      <c r="O35" s="3" t="n"/>
      <c r="P35" s="3">
        <f>00_PARAMETROS!B5</f>
        <v/>
      </c>
      <c r="Q35" s="4">
        <f>C35+J35-N35</f>
        <v/>
      </c>
      <c r="R35" s="3" t="n"/>
      <c r="S35" s="3" t="n"/>
    </row>
    <row r="36" ht="20" customHeight="1">
      <c r="A36" s="4">
        <f>DATE(2025,7,30)</f>
        <v/>
      </c>
      <c r="B36" s="4" t="n">
        <v>30</v>
      </c>
      <c r="C36" s="4">
        <f>Q35</f>
        <v/>
      </c>
      <c r="D36" s="3" t="n"/>
      <c r="E36" s="3" t="n"/>
      <c r="F36" s="3" t="n"/>
      <c r="G36" s="3" t="n"/>
      <c r="H36" s="3" t="n"/>
      <c r="I36" s="3" t="n"/>
      <c r="J36" s="4">
        <f>SUM(D36:H36)+I36</f>
        <v/>
      </c>
      <c r="K36" s="3" t="n"/>
      <c r="L36" s="3" t="n"/>
      <c r="M36" s="3" t="n"/>
      <c r="N36" s="4">
        <f>SUM(K36:M36)</f>
        <v/>
      </c>
      <c r="O36" s="3" t="n"/>
      <c r="P36" s="3">
        <f>00_PARAMETROS!B5</f>
        <v/>
      </c>
      <c r="Q36" s="4">
        <f>C36+J36-N36</f>
        <v/>
      </c>
      <c r="R36" s="3" t="n"/>
      <c r="S36" s="3" t="n"/>
    </row>
    <row r="37" ht="20" customHeight="1">
      <c r="A37" s="4">
        <f>DATE(2025,7,31)</f>
        <v/>
      </c>
      <c r="B37" s="4" t="n">
        <v>31</v>
      </c>
      <c r="C37" s="4">
        <f>Q36</f>
        <v/>
      </c>
      <c r="D37" s="3" t="n"/>
      <c r="E37" s="3" t="n"/>
      <c r="F37" s="3" t="n"/>
      <c r="G37" s="3" t="n"/>
      <c r="H37" s="3" t="n"/>
      <c r="I37" s="3" t="n"/>
      <c r="J37" s="4">
        <f>SUM(D37:H37)+I37</f>
        <v/>
      </c>
      <c r="K37" s="3" t="n"/>
      <c r="L37" s="3" t="n"/>
      <c r="M37" s="3" t="n"/>
      <c r="N37" s="4">
        <f>SUM(K37:M37)</f>
        <v/>
      </c>
      <c r="O37" s="3" t="n"/>
      <c r="P37" s="3">
        <f>00_PARAMETROS!B5</f>
        <v/>
      </c>
      <c r="Q37" s="4">
        <f>C37+J37-N37</f>
        <v/>
      </c>
      <c r="R37" s="3" t="n"/>
      <c r="S37" s="3" t="n"/>
    </row>
    <row r="38" ht="20" customHeight="1">
      <c r="A38" s="2" t="inlineStr">
        <is>
          <t>TOTAL</t>
        </is>
      </c>
      <c r="B38" s="7" t="n"/>
      <c r="C38" s="7" t="n"/>
      <c r="D38" s="8">
        <f>SUM(D7:D37)</f>
        <v/>
      </c>
      <c r="E38" s="8">
        <f>SUM(E7:E37)</f>
        <v/>
      </c>
      <c r="F38" s="8">
        <f>SUM(F7:F37)</f>
        <v/>
      </c>
      <c r="G38" s="8">
        <f>SUM(G7:G37)</f>
        <v/>
      </c>
      <c r="H38" s="8">
        <f>SUM(H7:H37)</f>
        <v/>
      </c>
      <c r="I38" s="8">
        <f>SUM(I7:I37)</f>
        <v/>
      </c>
      <c r="J38" s="8">
        <f>SUM(J7:J37)</f>
        <v/>
      </c>
      <c r="K38" s="8">
        <f>SUM(K7:K37)</f>
        <v/>
      </c>
      <c r="L38" s="8">
        <f>SUM(L7:L37)</f>
        <v/>
      </c>
      <c r="M38" s="8">
        <f>SUM(M7:M37)</f>
        <v/>
      </c>
      <c r="N38" s="8">
        <f>SUM(N7:N37)</f>
        <v/>
      </c>
      <c r="O38" s="8">
        <f>SUM(O7:O37)</f>
        <v/>
      </c>
      <c r="P38" s="8">
        <f>SUM(P7:P37)</f>
        <v/>
      </c>
      <c r="Q38" s="8">
        <f>SUM(Q7:Q37)</f>
        <v/>
      </c>
      <c r="R38" s="8">
        <f>SUM(R7:R37)</f>
        <v/>
      </c>
      <c r="S38" s="8">
        <f>SUM(S7:S37)</f>
        <v/>
      </c>
    </row>
    <row r="39" ht="20" customHeight="1"/>
    <row r="40" ht="20" customHeight="1"/>
    <row r="41" ht="20" customHeight="1">
      <c r="A41" s="2" t="inlineStr">
        <is>
          <t>RESUMEN DEL MES</t>
        </is>
      </c>
      <c r="B41" s="9" t="n"/>
      <c r="C41" s="9" t="n"/>
      <c r="D41" s="10" t="n"/>
    </row>
    <row r="42" ht="20" customHeight="1">
      <c r="A42" s="11" t="inlineStr">
        <is>
          <t>Ingresos</t>
        </is>
      </c>
      <c r="B42" s="4">
        <f>J38</f>
        <v/>
      </c>
    </row>
    <row r="43" ht="20" customHeight="1">
      <c r="A43" s="11" t="inlineStr">
        <is>
          <t>Altas al hogar / otro hosp.</t>
        </is>
      </c>
      <c r="B43" s="4">
        <f>K38</f>
        <v/>
      </c>
    </row>
    <row r="44" ht="20" customHeight="1">
      <c r="A44" s="11" t="inlineStr">
        <is>
          <t>Traslados a otro servicio</t>
        </is>
      </c>
      <c r="B44" s="4">
        <f>L38</f>
        <v/>
      </c>
    </row>
    <row r="45" ht="20" customHeight="1">
      <c r="A45" s="11" t="inlineStr">
        <is>
          <t>Fallecidos</t>
        </is>
      </c>
      <c r="B45" s="4">
        <f>M38</f>
        <v/>
      </c>
    </row>
    <row r="46" ht="20" customHeight="1">
      <c r="A46" s="11" t="inlineStr">
        <is>
          <t>Total egresos</t>
        </is>
      </c>
      <c r="B46" s="4">
        <f>N38</f>
        <v/>
      </c>
    </row>
    <row r="47" ht="20" customHeight="1">
      <c r="A47" s="11" t="inlineStr">
        <is>
          <t>Pacientes atendidos del mes</t>
        </is>
      </c>
      <c r="B47" s="4">
        <f>C7+J38</f>
        <v/>
      </c>
    </row>
    <row r="48" ht="20" customHeight="1">
      <c r="A48" s="11" t="inlineStr">
        <is>
          <t>Dias personas atendidas</t>
        </is>
      </c>
      <c r="B48" s="4">
        <f>R38</f>
        <v/>
      </c>
    </row>
    <row r="49" ht="20" customHeight="1">
      <c r="A49" s="11" t="inlineStr">
        <is>
          <t>Indice ocupacional %</t>
        </is>
      </c>
      <c r="B49" s="12">
        <f>IFERROR(Q38/P38,"")</f>
        <v/>
      </c>
    </row>
    <row r="50" ht="20" customHeight="1">
      <c r="A50" s="11" t="inlineStr">
        <is>
          <t>Promedio dia de estada</t>
        </is>
      </c>
      <c r="B50" s="13">
        <f>IFERROR(R38/N38,"")</f>
        <v/>
      </c>
    </row>
  </sheetData>
  <sheetProtection selectLockedCells="1" selectUnlockedCells="1" sheet="1" objects="0" insertRows="1" insertHyperlinks="1" autoFilter="1" scenarios="0" formatColumns="1" deleteColumns="1" insertColumns="1" pivotTables="1" deleteRows="1" formatCells="1" formatRows="1" sort="1" password="C752"/>
  <mergeCells count="3">
    <mergeCell ref="U1:W1"/>
    <mergeCell ref="A41:D41"/>
    <mergeCell ref="A1:S1"/>
  </mergeCells>
  <dataValidations count="1">
    <dataValidation sqref="D7 D8 D9 D10 D11 D12 D13 D14 D15 D16 D17 D18 D19 D20 D21 D22 D23 D24 D25 D26 D27 D28 D29 D30 D31 D32 D33 D34 D35 D36 D37 E7 E8 E9 E10 E11 E12 E13 E14 E15 E16 E17 E18 E19 E20 E21 E22 E23 E24 E25 E26 E27 E28 E29 E30 E31 E32 E33 E34 E35 E36 E37 F7 F8 F9 F10 F11 F12 F13 F14 F15 F16 F17 F18 F19 F20 F21 F22 F23 F24 F25 F26 F27 F28 F29 F30 F31 F32 F33 F34 F35 F36 F37 G7 G8 G9 G10 G11 G12 G13 G14 G15 G16 G17 G18 G19 G20 G21 G22 G23 G24 G25 G26 G27 G28 G29 G30 G31 G32 G33 G34 G35 G36 G37 H7 H8 H9 H10 H11 H12 H13 H14 H15 H16 H17 H18 H19 H20 H21 H22 H23 H24 H25 H26 H27 H28 H29 H30 H31 H32 H33 H34 H35 H36 H37 I7 I8 I9 I10 I11 I12 I13 I14 I15 I16 I17 I18 I19 I20 I21 I22 I23 I24 I25 I26 I27 I28 I29 I30 I31 I32 I33 I34 I35 I36 I37 K7 K8 K9 K10 K11 K12 K13 K14 K15 K16 K17 K18 K19 K20 K21 K22 K23 K24 K25 K26 K27 K28 K29 K30 K31 K32 K33 K34 K35 K36 K37 L7 L8 L9 L10 L11 L12 L13 L14 L15 L16 L17 L18 L19 L20 L21 L22 L23 L24 L25 L26 L27 L28 L29 L30 L31 L32 L33 L34 L35 L36 L37 M7 M8 M9 M10 M11 M12 M13 M14 M15 M16 M17 M18 M19 M20 M21 M22 M23 M24 M25 M26 M27 M28 M29 M30 M31 M32 M33 M34 M35 M36 M37 O7 O8 O9 O10 O11 O12 O13 O14 O15 O16 O17 O18 O19 O20 O21 O22 O23 O24 O25 O26 O27 O28 O29 O30 O31 O32 O33 O34 O35 O36 O37 P7 P8 P9 P10 P11 P12 P13 P14 P15 P16 P17 P18 P19 P20 P21 P22 P23 P24 P25 P26 P27 P28 P29 P30 P31 P32 P33 P34 P35 P36 P37 R7 R8 R9 R10 R11 R12 R13 R14 R15 R16 R17 R18 R19 R20 R21 R22 R23 R24 R25 R26 R27 R28 R29 R30 R31 R32 R33 R34 R35 R36 R37 S7 S8 S9 S10 S11 S12 S13 S14 S15 S16 S17 S18 S19 S20 S21 S22 S23 S24 S25 S26 S27 S28 S29 S30 S31 S32 S33 S34 S35 S36 S37" showDropDown="0" showInputMessage="0" showErrorMessage="0" allowBlank="1" prompt="Ingresa un numero entero mayor o igual a 0." type="whole" operator="greaterThanOrEqual">
      <formula1>0</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W50"/>
  <sheetViews>
    <sheetView showGridLines="1" workbookViewId="0">
      <pane ySplit="6" topLeftCell="A7" activePane="bottomLeft" state="frozen"/>
      <selection pane="bottomLeft" activeCell="A1" sqref="A1"/>
    </sheetView>
  </sheetViews>
  <sheetFormatPr baseColWidth="8" defaultRowHeight="15"/>
  <cols>
    <col width="13" customWidth="1" min="1" max="1"/>
    <col width="7" customWidth="1" min="2" max="2"/>
    <col width="20" customWidth="1" min="3" max="3"/>
    <col width="13" customWidth="1" min="4" max="4"/>
    <col width="18" customWidth="1" min="5" max="5"/>
    <col width="15" customWidth="1" min="6" max="6"/>
    <col width="16" customWidth="1" min="7" max="7"/>
    <col width="10" customWidth="1" min="8" max="8"/>
    <col width="15" customWidth="1" min="9" max="9"/>
    <col width="13" customWidth="1" min="10" max="10"/>
    <col width="20" customWidth="1" min="11" max="11"/>
    <col width="22" customWidth="1" min="12" max="12"/>
    <col width="14" customWidth="1" min="13" max="13"/>
    <col width="13" customWidth="1" min="14" max="14"/>
    <col width="18" customWidth="1" min="15" max="15"/>
    <col width="18" customWidth="1" min="16" max="16"/>
    <col width="17" customWidth="1" min="17" max="17"/>
    <col width="16" customWidth="1" min="18" max="18"/>
    <col width="16" customWidth="1" min="19" max="19"/>
    <col width="34" customWidth="1" min="21" max="21"/>
    <col width="12" customWidth="1" min="22" max="22"/>
  </cols>
  <sheetData>
    <row r="1" ht="20" customHeight="1">
      <c r="A1" s="1" t="inlineStr">
        <is>
          <t>RESUMEN MENSUAL HODOM</t>
        </is>
      </c>
      <c r="U1" s="1" t="inlineStr">
        <is>
          <t>CONTROL</t>
        </is>
      </c>
    </row>
    <row r="2" ht="20" customHeight="1">
      <c r="A2" s="2" t="inlineStr">
        <is>
          <t>Servicio</t>
        </is>
      </c>
      <c r="B2" s="4">
        <f>00_PARAMETROS!B3</f>
        <v/>
      </c>
      <c r="C2" s="2" t="inlineStr">
        <is>
          <t>Codigo</t>
        </is>
      </c>
      <c r="D2" s="4">
        <f>00_PARAMETROS!B4</f>
        <v/>
      </c>
      <c r="E2" s="2" t="inlineStr">
        <is>
          <t>Mes</t>
        </is>
      </c>
      <c r="F2" s="3" t="inlineStr">
        <is>
          <t>AGOSTO</t>
        </is>
      </c>
      <c r="G2" s="2" t="inlineStr">
        <is>
          <t>Ano</t>
        </is>
      </c>
      <c r="H2" s="3" t="n">
        <v>2025</v>
      </c>
    </row>
    <row r="3" ht="20" customHeight="1">
      <c r="A3" s="2" t="inlineStr">
        <is>
          <t>Camas base</t>
        </is>
      </c>
      <c r="B3" s="4">
        <f>00_PARAMETROS!B5</f>
        <v/>
      </c>
      <c r="C3" s="2" t="inlineStr">
        <is>
          <t>Promedio camas</t>
        </is>
      </c>
      <c r="D3" s="4">
        <f>AVERAGE(P7:P37)</f>
        <v/>
      </c>
      <c r="E3" s="2" t="inlineStr">
        <is>
          <t>Dias del mes</t>
        </is>
      </c>
      <c r="F3" s="3" t="n">
        <v>31</v>
      </c>
      <c r="U3" s="5" t="inlineStr">
        <is>
          <t>Dias con ocupacion negativa</t>
        </is>
      </c>
      <c r="V3" s="4">
        <f>COUNTIF(Q7:Q37,"&lt;0")</f>
        <v/>
      </c>
    </row>
    <row r="4" ht="20" customHeight="1">
      <c r="U4" s="5" t="inlineStr">
        <is>
          <t>Dias sin camas disponibles</t>
        </is>
      </c>
      <c r="V4" s="4">
        <f>COUNTBLANK(P7:P37)</f>
        <v/>
      </c>
    </row>
    <row r="5" ht="20" customHeight="1">
      <c r="U5" s="5" t="inlineStr">
        <is>
          <t>Primer dia sin existencia inicial</t>
        </is>
      </c>
      <c r="V5" s="4">
        <f>IF(C7="",1,0)</f>
        <v/>
      </c>
    </row>
    <row r="6" ht="36" customHeight="1">
      <c r="A6" s="6" t="inlineStr">
        <is>
          <t>Fecha</t>
        </is>
      </c>
      <c r="B6" s="6" t="inlineStr">
        <is>
          <t>Dia</t>
        </is>
      </c>
      <c r="C6" s="6" t="inlineStr">
        <is>
          <t>Existencia dia anterior</t>
        </is>
      </c>
      <c r="D6" s="6" t="inlineStr">
        <is>
          <t>Ing. urgencia</t>
        </is>
      </c>
      <c r="E6" s="6" t="inlineStr">
        <is>
          <t>Ing. hospitalizacion</t>
        </is>
      </c>
      <c r="F6" s="6" t="inlineStr">
        <is>
          <t>Ing. ambulatorio</t>
        </is>
      </c>
      <c r="G6" s="6" t="inlineStr">
        <is>
          <t>Ing. ley urgencia</t>
        </is>
      </c>
      <c r="H6" s="6" t="inlineStr">
        <is>
          <t>Ing. UGCC</t>
        </is>
      </c>
      <c r="I6" s="6" t="inlineStr">
        <is>
          <t>Ing. por traslado</t>
        </is>
      </c>
      <c r="J6" s="6" t="inlineStr">
        <is>
          <t>Total ingresos</t>
        </is>
      </c>
      <c r="K6" s="6" t="inlineStr">
        <is>
          <t>Egr. alta hogar / otro hosp.</t>
        </is>
      </c>
      <c r="L6" s="6" t="inlineStr">
        <is>
          <t>Egr. traslado a otro servicio</t>
        </is>
      </c>
      <c r="M6" s="6" t="inlineStr">
        <is>
          <t>Egr. fallecidos</t>
        </is>
      </c>
      <c r="N6" s="6" t="inlineStr">
        <is>
          <t>Total egresos</t>
        </is>
      </c>
      <c r="O6" s="6" t="inlineStr">
        <is>
          <t>Ingr.-egr. mismo dia</t>
        </is>
      </c>
      <c r="P6" s="6" t="inlineStr">
        <is>
          <t>Dias cama disponibles</t>
        </is>
      </c>
      <c r="Q6" s="6" t="inlineStr">
        <is>
          <t>Dias cama ocupadas</t>
        </is>
      </c>
      <c r="R6" s="6" t="inlineStr">
        <is>
          <t>Dias estada total</t>
        </is>
      </c>
      <c r="S6" s="6" t="inlineStr">
        <is>
          <t>Dias estada benef.</t>
        </is>
      </c>
      <c r="U6" s="5" t="inlineStr">
        <is>
          <t>Dias con total ingresos manualmente alterado</t>
        </is>
      </c>
      <c r="V6" s="4" t="inlineStr">
        <is>
          <t>0</t>
        </is>
      </c>
    </row>
    <row r="7" ht="20" customHeight="1">
      <c r="A7" s="4">
        <f>DATE(2025,8,1)</f>
        <v/>
      </c>
      <c r="B7" s="4" t="n">
        <v>1</v>
      </c>
      <c r="C7" s="3" t="n"/>
      <c r="D7" s="3" t="n"/>
      <c r="E7" s="3" t="n"/>
      <c r="F7" s="3" t="n"/>
      <c r="G7" s="3" t="n"/>
      <c r="H7" s="3" t="n"/>
      <c r="I7" s="3" t="n"/>
      <c r="J7" s="4">
        <f>SUM(D7:H7)+I7</f>
        <v/>
      </c>
      <c r="K7" s="3" t="n"/>
      <c r="L7" s="3" t="n"/>
      <c r="M7" s="3" t="n"/>
      <c r="N7" s="4">
        <f>SUM(K7:M7)</f>
        <v/>
      </c>
      <c r="O7" s="3" t="n"/>
      <c r="P7" s="3">
        <f>00_PARAMETROS!B5</f>
        <v/>
      </c>
      <c r="Q7" s="4">
        <f>C7+J7-N7</f>
        <v/>
      </c>
      <c r="R7" s="3" t="n"/>
      <c r="S7" s="3" t="n"/>
      <c r="U7" s="5" t="inlineStr">
        <is>
          <t>Dias con total egresos manualmente alterado</t>
        </is>
      </c>
      <c r="V7" s="4" t="inlineStr">
        <is>
          <t>0</t>
        </is>
      </c>
    </row>
    <row r="8" ht="20" customHeight="1">
      <c r="A8" s="4">
        <f>DATE(2025,8,2)</f>
        <v/>
      </c>
      <c r="B8" s="4" t="n">
        <v>2</v>
      </c>
      <c r="C8" s="4">
        <f>Q7</f>
        <v/>
      </c>
      <c r="D8" s="3" t="n"/>
      <c r="E8" s="3" t="n"/>
      <c r="F8" s="3" t="n"/>
      <c r="G8" s="3" t="n"/>
      <c r="H8" s="3" t="n"/>
      <c r="I8" s="3" t="n"/>
      <c r="J8" s="4">
        <f>SUM(D8:H8)+I8</f>
        <v/>
      </c>
      <c r="K8" s="3" t="n"/>
      <c r="L8" s="3" t="n"/>
      <c r="M8" s="3" t="n"/>
      <c r="N8" s="4">
        <f>SUM(K8:M8)</f>
        <v/>
      </c>
      <c r="O8" s="3" t="n"/>
      <c r="P8" s="3">
        <f>00_PARAMETROS!B5</f>
        <v/>
      </c>
      <c r="Q8" s="4">
        <f>C8+J8-N8</f>
        <v/>
      </c>
      <c r="R8" s="3" t="n"/>
      <c r="S8" s="3" t="n"/>
    </row>
    <row r="9" ht="20" customHeight="1">
      <c r="A9" s="4">
        <f>DATE(2025,8,3)</f>
        <v/>
      </c>
      <c r="B9" s="4" t="n">
        <v>3</v>
      </c>
      <c r="C9" s="4">
        <f>Q8</f>
        <v/>
      </c>
      <c r="D9" s="3" t="n"/>
      <c r="E9" s="3" t="n"/>
      <c r="F9" s="3" t="n"/>
      <c r="G9" s="3" t="n"/>
      <c r="H9" s="3" t="n"/>
      <c r="I9" s="3" t="n"/>
      <c r="J9" s="4">
        <f>SUM(D9:H9)+I9</f>
        <v/>
      </c>
      <c r="K9" s="3" t="n"/>
      <c r="L9" s="3" t="n"/>
      <c r="M9" s="3" t="n"/>
      <c r="N9" s="4">
        <f>SUM(K9:M9)</f>
        <v/>
      </c>
      <c r="O9" s="3" t="n"/>
      <c r="P9" s="3">
        <f>00_PARAMETROS!B5</f>
        <v/>
      </c>
      <c r="Q9" s="4">
        <f>C9+J9-N9</f>
        <v/>
      </c>
      <c r="R9" s="3" t="n"/>
      <c r="S9" s="3" t="n"/>
    </row>
    <row r="10" ht="20" customHeight="1">
      <c r="A10" s="4">
        <f>DATE(2025,8,4)</f>
        <v/>
      </c>
      <c r="B10" s="4" t="n">
        <v>4</v>
      </c>
      <c r="C10" s="4">
        <f>Q9</f>
        <v/>
      </c>
      <c r="D10" s="3" t="n"/>
      <c r="E10" s="3" t="n"/>
      <c r="F10" s="3" t="n"/>
      <c r="G10" s="3" t="n"/>
      <c r="H10" s="3" t="n"/>
      <c r="I10" s="3" t="n"/>
      <c r="J10" s="4">
        <f>SUM(D10:H10)+I10</f>
        <v/>
      </c>
      <c r="K10" s="3" t="n"/>
      <c r="L10" s="3" t="n"/>
      <c r="M10" s="3" t="n"/>
      <c r="N10" s="4">
        <f>SUM(K10:M10)</f>
        <v/>
      </c>
      <c r="O10" s="3" t="n"/>
      <c r="P10" s="3">
        <f>00_PARAMETROS!B5</f>
        <v/>
      </c>
      <c r="Q10" s="4">
        <f>C10+J10-N10</f>
        <v/>
      </c>
      <c r="R10" s="3" t="n"/>
      <c r="S10" s="3" t="n"/>
    </row>
    <row r="11" ht="20" customHeight="1">
      <c r="A11" s="4">
        <f>DATE(2025,8,5)</f>
        <v/>
      </c>
      <c r="B11" s="4" t="n">
        <v>5</v>
      </c>
      <c r="C11" s="4">
        <f>Q10</f>
        <v/>
      </c>
      <c r="D11" s="3" t="n"/>
      <c r="E11" s="3" t="n"/>
      <c r="F11" s="3" t="n"/>
      <c r="G11" s="3" t="n"/>
      <c r="H11" s="3" t="n"/>
      <c r="I11" s="3" t="n"/>
      <c r="J11" s="4">
        <f>SUM(D11:H11)+I11</f>
        <v/>
      </c>
      <c r="K11" s="3" t="n"/>
      <c r="L11" s="3" t="n"/>
      <c r="M11" s="3" t="n"/>
      <c r="N11" s="4">
        <f>SUM(K11:M11)</f>
        <v/>
      </c>
      <c r="O11" s="3" t="n"/>
      <c r="P11" s="3">
        <f>00_PARAMETROS!B5</f>
        <v/>
      </c>
      <c r="Q11" s="4">
        <f>C11+J11-N11</f>
        <v/>
      </c>
      <c r="R11" s="3" t="n"/>
      <c r="S11" s="3" t="n"/>
    </row>
    <row r="12" ht="20" customHeight="1">
      <c r="A12" s="4">
        <f>DATE(2025,8,6)</f>
        <v/>
      </c>
      <c r="B12" s="4" t="n">
        <v>6</v>
      </c>
      <c r="C12" s="4">
        <f>Q11</f>
        <v/>
      </c>
      <c r="D12" s="3" t="n"/>
      <c r="E12" s="3" t="n"/>
      <c r="F12" s="3" t="n"/>
      <c r="G12" s="3" t="n"/>
      <c r="H12" s="3" t="n"/>
      <c r="I12" s="3" t="n"/>
      <c r="J12" s="4">
        <f>SUM(D12:H12)+I12</f>
        <v/>
      </c>
      <c r="K12" s="3" t="n"/>
      <c r="L12" s="3" t="n"/>
      <c r="M12" s="3" t="n"/>
      <c r="N12" s="4">
        <f>SUM(K12:M12)</f>
        <v/>
      </c>
      <c r="O12" s="3" t="n"/>
      <c r="P12" s="3">
        <f>00_PARAMETROS!B5</f>
        <v/>
      </c>
      <c r="Q12" s="4">
        <f>C12+J12-N12</f>
        <v/>
      </c>
      <c r="R12" s="3" t="n"/>
      <c r="S12" s="3" t="n"/>
    </row>
    <row r="13" ht="20" customHeight="1">
      <c r="A13" s="4">
        <f>DATE(2025,8,7)</f>
        <v/>
      </c>
      <c r="B13" s="4" t="n">
        <v>7</v>
      </c>
      <c r="C13" s="4">
        <f>Q12</f>
        <v/>
      </c>
      <c r="D13" s="3" t="n"/>
      <c r="E13" s="3" t="n"/>
      <c r="F13" s="3" t="n"/>
      <c r="G13" s="3" t="n"/>
      <c r="H13" s="3" t="n"/>
      <c r="I13" s="3" t="n"/>
      <c r="J13" s="4">
        <f>SUM(D13:H13)+I13</f>
        <v/>
      </c>
      <c r="K13" s="3" t="n"/>
      <c r="L13" s="3" t="n"/>
      <c r="M13" s="3" t="n"/>
      <c r="N13" s="4">
        <f>SUM(K13:M13)</f>
        <v/>
      </c>
      <c r="O13" s="3" t="n"/>
      <c r="P13" s="3">
        <f>00_PARAMETROS!B5</f>
        <v/>
      </c>
      <c r="Q13" s="4">
        <f>C13+J13-N13</f>
        <v/>
      </c>
      <c r="R13" s="3" t="n"/>
      <c r="S13" s="3" t="n"/>
    </row>
    <row r="14" ht="20" customHeight="1">
      <c r="A14" s="4">
        <f>DATE(2025,8,8)</f>
        <v/>
      </c>
      <c r="B14" s="4" t="n">
        <v>8</v>
      </c>
      <c r="C14" s="4">
        <f>Q13</f>
        <v/>
      </c>
      <c r="D14" s="3" t="n"/>
      <c r="E14" s="3" t="n"/>
      <c r="F14" s="3" t="n"/>
      <c r="G14" s="3" t="n"/>
      <c r="H14" s="3" t="n"/>
      <c r="I14" s="3" t="n"/>
      <c r="J14" s="4">
        <f>SUM(D14:H14)+I14</f>
        <v/>
      </c>
      <c r="K14" s="3" t="n"/>
      <c r="L14" s="3" t="n"/>
      <c r="M14" s="3" t="n"/>
      <c r="N14" s="4">
        <f>SUM(K14:M14)</f>
        <v/>
      </c>
      <c r="O14" s="3" t="n"/>
      <c r="P14" s="3">
        <f>00_PARAMETROS!B5</f>
        <v/>
      </c>
      <c r="Q14" s="4">
        <f>C14+J14-N14</f>
        <v/>
      </c>
      <c r="R14" s="3" t="n"/>
      <c r="S14" s="3" t="n"/>
    </row>
    <row r="15" ht="20" customHeight="1">
      <c r="A15" s="4">
        <f>DATE(2025,8,9)</f>
        <v/>
      </c>
      <c r="B15" s="4" t="n">
        <v>9</v>
      </c>
      <c r="C15" s="4">
        <f>Q14</f>
        <v/>
      </c>
      <c r="D15" s="3" t="n"/>
      <c r="E15" s="3" t="n"/>
      <c r="F15" s="3" t="n"/>
      <c r="G15" s="3" t="n"/>
      <c r="H15" s="3" t="n"/>
      <c r="I15" s="3" t="n"/>
      <c r="J15" s="4">
        <f>SUM(D15:H15)+I15</f>
        <v/>
      </c>
      <c r="K15" s="3" t="n"/>
      <c r="L15" s="3" t="n"/>
      <c r="M15" s="3" t="n"/>
      <c r="N15" s="4">
        <f>SUM(K15:M15)</f>
        <v/>
      </c>
      <c r="O15" s="3" t="n"/>
      <c r="P15" s="3">
        <f>00_PARAMETROS!B5</f>
        <v/>
      </c>
      <c r="Q15" s="4">
        <f>C15+J15-N15</f>
        <v/>
      </c>
      <c r="R15" s="3" t="n"/>
      <c r="S15" s="3" t="n"/>
    </row>
    <row r="16" ht="20" customHeight="1">
      <c r="A16" s="4">
        <f>DATE(2025,8,10)</f>
        <v/>
      </c>
      <c r="B16" s="4" t="n">
        <v>10</v>
      </c>
      <c r="C16" s="4">
        <f>Q15</f>
        <v/>
      </c>
      <c r="D16" s="3" t="n"/>
      <c r="E16" s="3" t="n"/>
      <c r="F16" s="3" t="n"/>
      <c r="G16" s="3" t="n"/>
      <c r="H16" s="3" t="n"/>
      <c r="I16" s="3" t="n"/>
      <c r="J16" s="4">
        <f>SUM(D16:H16)+I16</f>
        <v/>
      </c>
      <c r="K16" s="3" t="n"/>
      <c r="L16" s="3" t="n"/>
      <c r="M16" s="3" t="n"/>
      <c r="N16" s="4">
        <f>SUM(K16:M16)</f>
        <v/>
      </c>
      <c r="O16" s="3" t="n"/>
      <c r="P16" s="3">
        <f>00_PARAMETROS!B5</f>
        <v/>
      </c>
      <c r="Q16" s="4">
        <f>C16+J16-N16</f>
        <v/>
      </c>
      <c r="R16" s="3" t="n"/>
      <c r="S16" s="3" t="n"/>
    </row>
    <row r="17" ht="20" customHeight="1">
      <c r="A17" s="4">
        <f>DATE(2025,8,11)</f>
        <v/>
      </c>
      <c r="B17" s="4" t="n">
        <v>11</v>
      </c>
      <c r="C17" s="4">
        <f>Q16</f>
        <v/>
      </c>
      <c r="D17" s="3" t="n"/>
      <c r="E17" s="3" t="n"/>
      <c r="F17" s="3" t="n"/>
      <c r="G17" s="3" t="n"/>
      <c r="H17" s="3" t="n"/>
      <c r="I17" s="3" t="n"/>
      <c r="J17" s="4">
        <f>SUM(D17:H17)+I17</f>
        <v/>
      </c>
      <c r="K17" s="3" t="n"/>
      <c r="L17" s="3" t="n"/>
      <c r="M17" s="3" t="n"/>
      <c r="N17" s="4">
        <f>SUM(K17:M17)</f>
        <v/>
      </c>
      <c r="O17" s="3" t="n"/>
      <c r="P17" s="3">
        <f>00_PARAMETROS!B5</f>
        <v/>
      </c>
      <c r="Q17" s="4">
        <f>C17+J17-N17</f>
        <v/>
      </c>
      <c r="R17" s="3" t="n"/>
      <c r="S17" s="3" t="n"/>
    </row>
    <row r="18" ht="20" customHeight="1">
      <c r="A18" s="4">
        <f>DATE(2025,8,12)</f>
        <v/>
      </c>
      <c r="B18" s="4" t="n">
        <v>12</v>
      </c>
      <c r="C18" s="4">
        <f>Q17</f>
        <v/>
      </c>
      <c r="D18" s="3" t="n"/>
      <c r="E18" s="3" t="n"/>
      <c r="F18" s="3" t="n"/>
      <c r="G18" s="3" t="n"/>
      <c r="H18" s="3" t="n"/>
      <c r="I18" s="3" t="n"/>
      <c r="J18" s="4">
        <f>SUM(D18:H18)+I18</f>
        <v/>
      </c>
      <c r="K18" s="3" t="n"/>
      <c r="L18" s="3" t="n"/>
      <c r="M18" s="3" t="n"/>
      <c r="N18" s="4">
        <f>SUM(K18:M18)</f>
        <v/>
      </c>
      <c r="O18" s="3" t="n"/>
      <c r="P18" s="3">
        <f>00_PARAMETROS!B5</f>
        <v/>
      </c>
      <c r="Q18" s="4">
        <f>C18+J18-N18</f>
        <v/>
      </c>
      <c r="R18" s="3" t="n"/>
      <c r="S18" s="3" t="n"/>
    </row>
    <row r="19" ht="20" customHeight="1">
      <c r="A19" s="4">
        <f>DATE(2025,8,13)</f>
        <v/>
      </c>
      <c r="B19" s="4" t="n">
        <v>13</v>
      </c>
      <c r="C19" s="4">
        <f>Q18</f>
        <v/>
      </c>
      <c r="D19" s="3" t="n"/>
      <c r="E19" s="3" t="n"/>
      <c r="F19" s="3" t="n"/>
      <c r="G19" s="3" t="n"/>
      <c r="H19" s="3" t="n"/>
      <c r="I19" s="3" t="n"/>
      <c r="J19" s="4">
        <f>SUM(D19:H19)+I19</f>
        <v/>
      </c>
      <c r="K19" s="3" t="n"/>
      <c r="L19" s="3" t="n"/>
      <c r="M19" s="3" t="n"/>
      <c r="N19" s="4">
        <f>SUM(K19:M19)</f>
        <v/>
      </c>
      <c r="O19" s="3" t="n"/>
      <c r="P19" s="3">
        <f>00_PARAMETROS!B5</f>
        <v/>
      </c>
      <c r="Q19" s="4">
        <f>C19+J19-N19</f>
        <v/>
      </c>
      <c r="R19" s="3" t="n"/>
      <c r="S19" s="3" t="n"/>
    </row>
    <row r="20" ht="20" customHeight="1">
      <c r="A20" s="4">
        <f>DATE(2025,8,14)</f>
        <v/>
      </c>
      <c r="B20" s="4" t="n">
        <v>14</v>
      </c>
      <c r="C20" s="4">
        <f>Q19</f>
        <v/>
      </c>
      <c r="D20" s="3" t="n"/>
      <c r="E20" s="3" t="n"/>
      <c r="F20" s="3" t="n"/>
      <c r="G20" s="3" t="n"/>
      <c r="H20" s="3" t="n"/>
      <c r="I20" s="3" t="n"/>
      <c r="J20" s="4">
        <f>SUM(D20:H20)+I20</f>
        <v/>
      </c>
      <c r="K20" s="3" t="n"/>
      <c r="L20" s="3" t="n"/>
      <c r="M20" s="3" t="n"/>
      <c r="N20" s="4">
        <f>SUM(K20:M20)</f>
        <v/>
      </c>
      <c r="O20" s="3" t="n"/>
      <c r="P20" s="3">
        <f>00_PARAMETROS!B5</f>
        <v/>
      </c>
      <c r="Q20" s="4">
        <f>C20+J20-N20</f>
        <v/>
      </c>
      <c r="R20" s="3" t="n"/>
      <c r="S20" s="3" t="n"/>
    </row>
    <row r="21" ht="20" customHeight="1">
      <c r="A21" s="4">
        <f>DATE(2025,8,15)</f>
        <v/>
      </c>
      <c r="B21" s="4" t="n">
        <v>15</v>
      </c>
      <c r="C21" s="4">
        <f>Q20</f>
        <v/>
      </c>
      <c r="D21" s="3" t="n"/>
      <c r="E21" s="3" t="n"/>
      <c r="F21" s="3" t="n"/>
      <c r="G21" s="3" t="n"/>
      <c r="H21" s="3" t="n"/>
      <c r="I21" s="3" t="n"/>
      <c r="J21" s="4">
        <f>SUM(D21:H21)+I21</f>
        <v/>
      </c>
      <c r="K21" s="3" t="n"/>
      <c r="L21" s="3" t="n"/>
      <c r="M21" s="3" t="n"/>
      <c r="N21" s="4">
        <f>SUM(K21:M21)</f>
        <v/>
      </c>
      <c r="O21" s="3" t="n"/>
      <c r="P21" s="3">
        <f>00_PARAMETROS!B5</f>
        <v/>
      </c>
      <c r="Q21" s="4">
        <f>C21+J21-N21</f>
        <v/>
      </c>
      <c r="R21" s="3" t="n"/>
      <c r="S21" s="3" t="n"/>
    </row>
    <row r="22" ht="20" customHeight="1">
      <c r="A22" s="4">
        <f>DATE(2025,8,16)</f>
        <v/>
      </c>
      <c r="B22" s="4" t="n">
        <v>16</v>
      </c>
      <c r="C22" s="4">
        <f>Q21</f>
        <v/>
      </c>
      <c r="D22" s="3" t="n"/>
      <c r="E22" s="3" t="n"/>
      <c r="F22" s="3" t="n"/>
      <c r="G22" s="3" t="n"/>
      <c r="H22" s="3" t="n"/>
      <c r="I22" s="3" t="n"/>
      <c r="J22" s="4">
        <f>SUM(D22:H22)+I22</f>
        <v/>
      </c>
      <c r="K22" s="3" t="n"/>
      <c r="L22" s="3" t="n"/>
      <c r="M22" s="3" t="n"/>
      <c r="N22" s="4">
        <f>SUM(K22:M22)</f>
        <v/>
      </c>
      <c r="O22" s="3" t="n"/>
      <c r="P22" s="3">
        <f>00_PARAMETROS!B5</f>
        <v/>
      </c>
      <c r="Q22" s="4">
        <f>C22+J22-N22</f>
        <v/>
      </c>
      <c r="R22" s="3" t="n"/>
      <c r="S22" s="3" t="n"/>
    </row>
    <row r="23" ht="20" customHeight="1">
      <c r="A23" s="4">
        <f>DATE(2025,8,17)</f>
        <v/>
      </c>
      <c r="B23" s="4" t="n">
        <v>17</v>
      </c>
      <c r="C23" s="4">
        <f>Q22</f>
        <v/>
      </c>
      <c r="D23" s="3" t="n"/>
      <c r="E23" s="3" t="n"/>
      <c r="F23" s="3" t="n"/>
      <c r="G23" s="3" t="n"/>
      <c r="H23" s="3" t="n"/>
      <c r="I23" s="3" t="n"/>
      <c r="J23" s="4">
        <f>SUM(D23:H23)+I23</f>
        <v/>
      </c>
      <c r="K23" s="3" t="n"/>
      <c r="L23" s="3" t="n"/>
      <c r="M23" s="3" t="n"/>
      <c r="N23" s="4">
        <f>SUM(K23:M23)</f>
        <v/>
      </c>
      <c r="O23" s="3" t="n"/>
      <c r="P23" s="3">
        <f>00_PARAMETROS!B5</f>
        <v/>
      </c>
      <c r="Q23" s="4">
        <f>C23+J23-N23</f>
        <v/>
      </c>
      <c r="R23" s="3" t="n"/>
      <c r="S23" s="3" t="n"/>
    </row>
    <row r="24" ht="20" customHeight="1">
      <c r="A24" s="4">
        <f>DATE(2025,8,18)</f>
        <v/>
      </c>
      <c r="B24" s="4" t="n">
        <v>18</v>
      </c>
      <c r="C24" s="4">
        <f>Q23</f>
        <v/>
      </c>
      <c r="D24" s="3" t="n"/>
      <c r="E24" s="3" t="n"/>
      <c r="F24" s="3" t="n"/>
      <c r="G24" s="3" t="n"/>
      <c r="H24" s="3" t="n"/>
      <c r="I24" s="3" t="n"/>
      <c r="J24" s="4">
        <f>SUM(D24:H24)+I24</f>
        <v/>
      </c>
      <c r="K24" s="3" t="n"/>
      <c r="L24" s="3" t="n"/>
      <c r="M24" s="3" t="n"/>
      <c r="N24" s="4">
        <f>SUM(K24:M24)</f>
        <v/>
      </c>
      <c r="O24" s="3" t="n"/>
      <c r="P24" s="3">
        <f>00_PARAMETROS!B5</f>
        <v/>
      </c>
      <c r="Q24" s="4">
        <f>C24+J24-N24</f>
        <v/>
      </c>
      <c r="R24" s="3" t="n"/>
      <c r="S24" s="3" t="n"/>
    </row>
    <row r="25" ht="20" customHeight="1">
      <c r="A25" s="4">
        <f>DATE(2025,8,19)</f>
        <v/>
      </c>
      <c r="B25" s="4" t="n">
        <v>19</v>
      </c>
      <c r="C25" s="4">
        <f>Q24</f>
        <v/>
      </c>
      <c r="D25" s="3" t="n"/>
      <c r="E25" s="3" t="n"/>
      <c r="F25" s="3" t="n"/>
      <c r="G25" s="3" t="n"/>
      <c r="H25" s="3" t="n"/>
      <c r="I25" s="3" t="n"/>
      <c r="J25" s="4">
        <f>SUM(D25:H25)+I25</f>
        <v/>
      </c>
      <c r="K25" s="3" t="n"/>
      <c r="L25" s="3" t="n"/>
      <c r="M25" s="3" t="n"/>
      <c r="N25" s="4">
        <f>SUM(K25:M25)</f>
        <v/>
      </c>
      <c r="O25" s="3" t="n"/>
      <c r="P25" s="3">
        <f>00_PARAMETROS!B5</f>
        <v/>
      </c>
      <c r="Q25" s="4">
        <f>C25+J25-N25</f>
        <v/>
      </c>
      <c r="R25" s="3" t="n"/>
      <c r="S25" s="3" t="n"/>
    </row>
    <row r="26" ht="20" customHeight="1">
      <c r="A26" s="4">
        <f>DATE(2025,8,20)</f>
        <v/>
      </c>
      <c r="B26" s="4" t="n">
        <v>20</v>
      </c>
      <c r="C26" s="4">
        <f>Q25</f>
        <v/>
      </c>
      <c r="D26" s="3" t="n"/>
      <c r="E26" s="3" t="n"/>
      <c r="F26" s="3" t="n"/>
      <c r="G26" s="3" t="n"/>
      <c r="H26" s="3" t="n"/>
      <c r="I26" s="3" t="n"/>
      <c r="J26" s="4">
        <f>SUM(D26:H26)+I26</f>
        <v/>
      </c>
      <c r="K26" s="3" t="n"/>
      <c r="L26" s="3" t="n"/>
      <c r="M26" s="3" t="n"/>
      <c r="N26" s="4">
        <f>SUM(K26:M26)</f>
        <v/>
      </c>
      <c r="O26" s="3" t="n"/>
      <c r="P26" s="3">
        <f>00_PARAMETROS!B5</f>
        <v/>
      </c>
      <c r="Q26" s="4">
        <f>C26+J26-N26</f>
        <v/>
      </c>
      <c r="R26" s="3" t="n"/>
      <c r="S26" s="3" t="n"/>
    </row>
    <row r="27" ht="20" customHeight="1">
      <c r="A27" s="4">
        <f>DATE(2025,8,21)</f>
        <v/>
      </c>
      <c r="B27" s="4" t="n">
        <v>21</v>
      </c>
      <c r="C27" s="4">
        <f>Q26</f>
        <v/>
      </c>
      <c r="D27" s="3" t="n"/>
      <c r="E27" s="3" t="n"/>
      <c r="F27" s="3" t="n"/>
      <c r="G27" s="3" t="n"/>
      <c r="H27" s="3" t="n"/>
      <c r="I27" s="3" t="n"/>
      <c r="J27" s="4">
        <f>SUM(D27:H27)+I27</f>
        <v/>
      </c>
      <c r="K27" s="3" t="n"/>
      <c r="L27" s="3" t="n"/>
      <c r="M27" s="3" t="n"/>
      <c r="N27" s="4">
        <f>SUM(K27:M27)</f>
        <v/>
      </c>
      <c r="O27" s="3" t="n"/>
      <c r="P27" s="3">
        <f>00_PARAMETROS!B5</f>
        <v/>
      </c>
      <c r="Q27" s="4">
        <f>C27+J27-N27</f>
        <v/>
      </c>
      <c r="R27" s="3" t="n"/>
      <c r="S27" s="3" t="n"/>
    </row>
    <row r="28" ht="20" customHeight="1">
      <c r="A28" s="4">
        <f>DATE(2025,8,22)</f>
        <v/>
      </c>
      <c r="B28" s="4" t="n">
        <v>22</v>
      </c>
      <c r="C28" s="4">
        <f>Q27</f>
        <v/>
      </c>
      <c r="D28" s="3" t="n"/>
      <c r="E28" s="3" t="n"/>
      <c r="F28" s="3" t="n"/>
      <c r="G28" s="3" t="n"/>
      <c r="H28" s="3" t="n"/>
      <c r="I28" s="3" t="n"/>
      <c r="J28" s="4">
        <f>SUM(D28:H28)+I28</f>
        <v/>
      </c>
      <c r="K28" s="3" t="n"/>
      <c r="L28" s="3" t="n"/>
      <c r="M28" s="3" t="n"/>
      <c r="N28" s="4">
        <f>SUM(K28:M28)</f>
        <v/>
      </c>
      <c r="O28" s="3" t="n"/>
      <c r="P28" s="3">
        <f>00_PARAMETROS!B5</f>
        <v/>
      </c>
      <c r="Q28" s="4">
        <f>C28+J28-N28</f>
        <v/>
      </c>
      <c r="R28" s="3" t="n"/>
      <c r="S28" s="3" t="n"/>
    </row>
    <row r="29" ht="20" customHeight="1">
      <c r="A29" s="4">
        <f>DATE(2025,8,23)</f>
        <v/>
      </c>
      <c r="B29" s="4" t="n">
        <v>23</v>
      </c>
      <c r="C29" s="4">
        <f>Q28</f>
        <v/>
      </c>
      <c r="D29" s="3" t="n"/>
      <c r="E29" s="3" t="n"/>
      <c r="F29" s="3" t="n"/>
      <c r="G29" s="3" t="n"/>
      <c r="H29" s="3" t="n"/>
      <c r="I29" s="3" t="n"/>
      <c r="J29" s="4">
        <f>SUM(D29:H29)+I29</f>
        <v/>
      </c>
      <c r="K29" s="3" t="n"/>
      <c r="L29" s="3" t="n"/>
      <c r="M29" s="3" t="n"/>
      <c r="N29" s="4">
        <f>SUM(K29:M29)</f>
        <v/>
      </c>
      <c r="O29" s="3" t="n"/>
      <c r="P29" s="3">
        <f>00_PARAMETROS!B5</f>
        <v/>
      </c>
      <c r="Q29" s="4">
        <f>C29+J29-N29</f>
        <v/>
      </c>
      <c r="R29" s="3" t="n"/>
      <c r="S29" s="3" t="n"/>
    </row>
    <row r="30" ht="20" customHeight="1">
      <c r="A30" s="4">
        <f>DATE(2025,8,24)</f>
        <v/>
      </c>
      <c r="B30" s="4" t="n">
        <v>24</v>
      </c>
      <c r="C30" s="4">
        <f>Q29</f>
        <v/>
      </c>
      <c r="D30" s="3" t="n"/>
      <c r="E30" s="3" t="n"/>
      <c r="F30" s="3" t="n"/>
      <c r="G30" s="3" t="n"/>
      <c r="H30" s="3" t="n"/>
      <c r="I30" s="3" t="n"/>
      <c r="J30" s="4">
        <f>SUM(D30:H30)+I30</f>
        <v/>
      </c>
      <c r="K30" s="3" t="n"/>
      <c r="L30" s="3" t="n"/>
      <c r="M30" s="3" t="n"/>
      <c r="N30" s="4">
        <f>SUM(K30:M30)</f>
        <v/>
      </c>
      <c r="O30" s="3" t="n"/>
      <c r="P30" s="3">
        <f>00_PARAMETROS!B5</f>
        <v/>
      </c>
      <c r="Q30" s="4">
        <f>C30+J30-N30</f>
        <v/>
      </c>
      <c r="R30" s="3" t="n"/>
      <c r="S30" s="3" t="n"/>
    </row>
    <row r="31" ht="20" customHeight="1">
      <c r="A31" s="4">
        <f>DATE(2025,8,25)</f>
        <v/>
      </c>
      <c r="B31" s="4" t="n">
        <v>25</v>
      </c>
      <c r="C31" s="4">
        <f>Q30</f>
        <v/>
      </c>
      <c r="D31" s="3" t="n"/>
      <c r="E31" s="3" t="n"/>
      <c r="F31" s="3" t="n"/>
      <c r="G31" s="3" t="n"/>
      <c r="H31" s="3" t="n"/>
      <c r="I31" s="3" t="n"/>
      <c r="J31" s="4">
        <f>SUM(D31:H31)+I31</f>
        <v/>
      </c>
      <c r="K31" s="3" t="n"/>
      <c r="L31" s="3" t="n"/>
      <c r="M31" s="3" t="n"/>
      <c r="N31" s="4">
        <f>SUM(K31:M31)</f>
        <v/>
      </c>
      <c r="O31" s="3" t="n"/>
      <c r="P31" s="3">
        <f>00_PARAMETROS!B5</f>
        <v/>
      </c>
      <c r="Q31" s="4">
        <f>C31+J31-N31</f>
        <v/>
      </c>
      <c r="R31" s="3" t="n"/>
      <c r="S31" s="3" t="n"/>
    </row>
    <row r="32" ht="20" customHeight="1">
      <c r="A32" s="4">
        <f>DATE(2025,8,26)</f>
        <v/>
      </c>
      <c r="B32" s="4" t="n">
        <v>26</v>
      </c>
      <c r="C32" s="4">
        <f>Q31</f>
        <v/>
      </c>
      <c r="D32" s="3" t="n"/>
      <c r="E32" s="3" t="n"/>
      <c r="F32" s="3" t="n"/>
      <c r="G32" s="3" t="n"/>
      <c r="H32" s="3" t="n"/>
      <c r="I32" s="3" t="n"/>
      <c r="J32" s="4">
        <f>SUM(D32:H32)+I32</f>
        <v/>
      </c>
      <c r="K32" s="3" t="n"/>
      <c r="L32" s="3" t="n"/>
      <c r="M32" s="3" t="n"/>
      <c r="N32" s="4">
        <f>SUM(K32:M32)</f>
        <v/>
      </c>
      <c r="O32" s="3" t="n"/>
      <c r="P32" s="3">
        <f>00_PARAMETROS!B5</f>
        <v/>
      </c>
      <c r="Q32" s="4">
        <f>C32+J32-N32</f>
        <v/>
      </c>
      <c r="R32" s="3" t="n"/>
      <c r="S32" s="3" t="n"/>
    </row>
    <row r="33" ht="20" customHeight="1">
      <c r="A33" s="4">
        <f>DATE(2025,8,27)</f>
        <v/>
      </c>
      <c r="B33" s="4" t="n">
        <v>27</v>
      </c>
      <c r="C33" s="4">
        <f>Q32</f>
        <v/>
      </c>
      <c r="D33" s="3" t="n"/>
      <c r="E33" s="3" t="n"/>
      <c r="F33" s="3" t="n"/>
      <c r="G33" s="3" t="n"/>
      <c r="H33" s="3" t="n"/>
      <c r="I33" s="3" t="n"/>
      <c r="J33" s="4">
        <f>SUM(D33:H33)+I33</f>
        <v/>
      </c>
      <c r="K33" s="3" t="n"/>
      <c r="L33" s="3" t="n"/>
      <c r="M33" s="3" t="n"/>
      <c r="N33" s="4">
        <f>SUM(K33:M33)</f>
        <v/>
      </c>
      <c r="O33" s="3" t="n"/>
      <c r="P33" s="3">
        <f>00_PARAMETROS!B5</f>
        <v/>
      </c>
      <c r="Q33" s="4">
        <f>C33+J33-N33</f>
        <v/>
      </c>
      <c r="R33" s="3" t="n"/>
      <c r="S33" s="3" t="n"/>
    </row>
    <row r="34" ht="20" customHeight="1">
      <c r="A34" s="4">
        <f>DATE(2025,8,28)</f>
        <v/>
      </c>
      <c r="B34" s="4" t="n">
        <v>28</v>
      </c>
      <c r="C34" s="4">
        <f>Q33</f>
        <v/>
      </c>
      <c r="D34" s="3" t="n"/>
      <c r="E34" s="3" t="n"/>
      <c r="F34" s="3" t="n"/>
      <c r="G34" s="3" t="n"/>
      <c r="H34" s="3" t="n"/>
      <c r="I34" s="3" t="n"/>
      <c r="J34" s="4">
        <f>SUM(D34:H34)+I34</f>
        <v/>
      </c>
      <c r="K34" s="3" t="n"/>
      <c r="L34" s="3" t="n"/>
      <c r="M34" s="3" t="n"/>
      <c r="N34" s="4">
        <f>SUM(K34:M34)</f>
        <v/>
      </c>
      <c r="O34" s="3" t="n"/>
      <c r="P34" s="3">
        <f>00_PARAMETROS!B5</f>
        <v/>
      </c>
      <c r="Q34" s="4">
        <f>C34+J34-N34</f>
        <v/>
      </c>
      <c r="R34" s="3" t="n"/>
      <c r="S34" s="3" t="n"/>
    </row>
    <row r="35" ht="20" customHeight="1">
      <c r="A35" s="4">
        <f>DATE(2025,8,29)</f>
        <v/>
      </c>
      <c r="B35" s="4" t="n">
        <v>29</v>
      </c>
      <c r="C35" s="4">
        <f>Q34</f>
        <v/>
      </c>
      <c r="D35" s="3" t="n"/>
      <c r="E35" s="3" t="n"/>
      <c r="F35" s="3" t="n"/>
      <c r="G35" s="3" t="n"/>
      <c r="H35" s="3" t="n"/>
      <c r="I35" s="3" t="n"/>
      <c r="J35" s="4">
        <f>SUM(D35:H35)+I35</f>
        <v/>
      </c>
      <c r="K35" s="3" t="n"/>
      <c r="L35" s="3" t="n"/>
      <c r="M35" s="3" t="n"/>
      <c r="N35" s="4">
        <f>SUM(K35:M35)</f>
        <v/>
      </c>
      <c r="O35" s="3" t="n"/>
      <c r="P35" s="3">
        <f>00_PARAMETROS!B5</f>
        <v/>
      </c>
      <c r="Q35" s="4">
        <f>C35+J35-N35</f>
        <v/>
      </c>
      <c r="R35" s="3" t="n"/>
      <c r="S35" s="3" t="n"/>
    </row>
    <row r="36" ht="20" customHeight="1">
      <c r="A36" s="4">
        <f>DATE(2025,8,30)</f>
        <v/>
      </c>
      <c r="B36" s="4" t="n">
        <v>30</v>
      </c>
      <c r="C36" s="4">
        <f>Q35</f>
        <v/>
      </c>
      <c r="D36" s="3" t="n"/>
      <c r="E36" s="3" t="n"/>
      <c r="F36" s="3" t="n"/>
      <c r="G36" s="3" t="n"/>
      <c r="H36" s="3" t="n"/>
      <c r="I36" s="3" t="n"/>
      <c r="J36" s="4">
        <f>SUM(D36:H36)+I36</f>
        <v/>
      </c>
      <c r="K36" s="3" t="n"/>
      <c r="L36" s="3" t="n"/>
      <c r="M36" s="3" t="n"/>
      <c r="N36" s="4">
        <f>SUM(K36:M36)</f>
        <v/>
      </c>
      <c r="O36" s="3" t="n"/>
      <c r="P36" s="3">
        <f>00_PARAMETROS!B5</f>
        <v/>
      </c>
      <c r="Q36" s="4">
        <f>C36+J36-N36</f>
        <v/>
      </c>
      <c r="R36" s="3" t="n"/>
      <c r="S36" s="3" t="n"/>
    </row>
    <row r="37" ht="20" customHeight="1">
      <c r="A37" s="4">
        <f>DATE(2025,8,31)</f>
        <v/>
      </c>
      <c r="B37" s="4" t="n">
        <v>31</v>
      </c>
      <c r="C37" s="4">
        <f>Q36</f>
        <v/>
      </c>
      <c r="D37" s="3" t="n"/>
      <c r="E37" s="3" t="n"/>
      <c r="F37" s="3" t="n"/>
      <c r="G37" s="3" t="n"/>
      <c r="H37" s="3" t="n"/>
      <c r="I37" s="3" t="n"/>
      <c r="J37" s="4">
        <f>SUM(D37:H37)+I37</f>
        <v/>
      </c>
      <c r="K37" s="3" t="n"/>
      <c r="L37" s="3" t="n"/>
      <c r="M37" s="3" t="n"/>
      <c r="N37" s="4">
        <f>SUM(K37:M37)</f>
        <v/>
      </c>
      <c r="O37" s="3" t="n"/>
      <c r="P37" s="3">
        <f>00_PARAMETROS!B5</f>
        <v/>
      </c>
      <c r="Q37" s="4">
        <f>C37+J37-N37</f>
        <v/>
      </c>
      <c r="R37" s="3" t="n"/>
      <c r="S37" s="3" t="n"/>
    </row>
    <row r="38" ht="20" customHeight="1">
      <c r="A38" s="2" t="inlineStr">
        <is>
          <t>TOTAL</t>
        </is>
      </c>
      <c r="B38" s="7" t="n"/>
      <c r="C38" s="7" t="n"/>
      <c r="D38" s="8">
        <f>SUM(D7:D37)</f>
        <v/>
      </c>
      <c r="E38" s="8">
        <f>SUM(E7:E37)</f>
        <v/>
      </c>
      <c r="F38" s="8">
        <f>SUM(F7:F37)</f>
        <v/>
      </c>
      <c r="G38" s="8">
        <f>SUM(G7:G37)</f>
        <v/>
      </c>
      <c r="H38" s="8">
        <f>SUM(H7:H37)</f>
        <v/>
      </c>
      <c r="I38" s="8">
        <f>SUM(I7:I37)</f>
        <v/>
      </c>
      <c r="J38" s="8">
        <f>SUM(J7:J37)</f>
        <v/>
      </c>
      <c r="K38" s="8">
        <f>SUM(K7:K37)</f>
        <v/>
      </c>
      <c r="L38" s="8">
        <f>SUM(L7:L37)</f>
        <v/>
      </c>
      <c r="M38" s="8">
        <f>SUM(M7:M37)</f>
        <v/>
      </c>
      <c r="N38" s="8">
        <f>SUM(N7:N37)</f>
        <v/>
      </c>
      <c r="O38" s="8">
        <f>SUM(O7:O37)</f>
        <v/>
      </c>
      <c r="P38" s="8">
        <f>SUM(P7:P37)</f>
        <v/>
      </c>
      <c r="Q38" s="8">
        <f>SUM(Q7:Q37)</f>
        <v/>
      </c>
      <c r="R38" s="8">
        <f>SUM(R7:R37)</f>
        <v/>
      </c>
      <c r="S38" s="8">
        <f>SUM(S7:S37)</f>
        <v/>
      </c>
    </row>
    <row r="39" ht="20" customHeight="1"/>
    <row r="40" ht="20" customHeight="1"/>
    <row r="41" ht="20" customHeight="1">
      <c r="A41" s="2" t="inlineStr">
        <is>
          <t>RESUMEN DEL MES</t>
        </is>
      </c>
      <c r="B41" s="9" t="n"/>
      <c r="C41" s="9" t="n"/>
      <c r="D41" s="10" t="n"/>
    </row>
    <row r="42" ht="20" customHeight="1">
      <c r="A42" s="11" t="inlineStr">
        <is>
          <t>Ingresos</t>
        </is>
      </c>
      <c r="B42" s="4">
        <f>J38</f>
        <v/>
      </c>
    </row>
    <row r="43" ht="20" customHeight="1">
      <c r="A43" s="11" t="inlineStr">
        <is>
          <t>Altas al hogar / otro hosp.</t>
        </is>
      </c>
      <c r="B43" s="4">
        <f>K38</f>
        <v/>
      </c>
    </row>
    <row r="44" ht="20" customHeight="1">
      <c r="A44" s="11" t="inlineStr">
        <is>
          <t>Traslados a otro servicio</t>
        </is>
      </c>
      <c r="B44" s="4">
        <f>L38</f>
        <v/>
      </c>
    </row>
    <row r="45" ht="20" customHeight="1">
      <c r="A45" s="11" t="inlineStr">
        <is>
          <t>Fallecidos</t>
        </is>
      </c>
      <c r="B45" s="4">
        <f>M38</f>
        <v/>
      </c>
    </row>
    <row r="46" ht="20" customHeight="1">
      <c r="A46" s="11" t="inlineStr">
        <is>
          <t>Total egresos</t>
        </is>
      </c>
      <c r="B46" s="4">
        <f>N38</f>
        <v/>
      </c>
    </row>
    <row r="47" ht="20" customHeight="1">
      <c r="A47" s="11" t="inlineStr">
        <is>
          <t>Pacientes atendidos del mes</t>
        </is>
      </c>
      <c r="B47" s="4">
        <f>C7+J38</f>
        <v/>
      </c>
    </row>
    <row r="48" ht="20" customHeight="1">
      <c r="A48" s="11" t="inlineStr">
        <is>
          <t>Dias personas atendidas</t>
        </is>
      </c>
      <c r="B48" s="4">
        <f>R38</f>
        <v/>
      </c>
    </row>
    <row r="49" ht="20" customHeight="1">
      <c r="A49" s="11" t="inlineStr">
        <is>
          <t>Indice ocupacional %</t>
        </is>
      </c>
      <c r="B49" s="12">
        <f>IFERROR(Q38/P38,"")</f>
        <v/>
      </c>
    </row>
    <row r="50" ht="20" customHeight="1">
      <c r="A50" s="11" t="inlineStr">
        <is>
          <t>Promedio dia de estada</t>
        </is>
      </c>
      <c r="B50" s="13">
        <f>IFERROR(R38/N38,"")</f>
        <v/>
      </c>
    </row>
  </sheetData>
  <sheetProtection selectLockedCells="1" selectUnlockedCells="1" sheet="1" objects="0" insertRows="1" insertHyperlinks="1" autoFilter="1" scenarios="0" formatColumns="1" deleteColumns="1" insertColumns="1" pivotTables="1" deleteRows="1" formatCells="1" formatRows="1" sort="1" password="C752"/>
  <mergeCells count="3">
    <mergeCell ref="U1:W1"/>
    <mergeCell ref="A41:D41"/>
    <mergeCell ref="A1:S1"/>
  </mergeCells>
  <dataValidations count="1">
    <dataValidation sqref="D7 D8 D9 D10 D11 D12 D13 D14 D15 D16 D17 D18 D19 D20 D21 D22 D23 D24 D25 D26 D27 D28 D29 D30 D31 D32 D33 D34 D35 D36 D37 E7 E8 E9 E10 E11 E12 E13 E14 E15 E16 E17 E18 E19 E20 E21 E22 E23 E24 E25 E26 E27 E28 E29 E30 E31 E32 E33 E34 E35 E36 E37 F7 F8 F9 F10 F11 F12 F13 F14 F15 F16 F17 F18 F19 F20 F21 F22 F23 F24 F25 F26 F27 F28 F29 F30 F31 F32 F33 F34 F35 F36 F37 G7 G8 G9 G10 G11 G12 G13 G14 G15 G16 G17 G18 G19 G20 G21 G22 G23 G24 G25 G26 G27 G28 G29 G30 G31 G32 G33 G34 G35 G36 G37 H7 H8 H9 H10 H11 H12 H13 H14 H15 H16 H17 H18 H19 H20 H21 H22 H23 H24 H25 H26 H27 H28 H29 H30 H31 H32 H33 H34 H35 H36 H37 I7 I8 I9 I10 I11 I12 I13 I14 I15 I16 I17 I18 I19 I20 I21 I22 I23 I24 I25 I26 I27 I28 I29 I30 I31 I32 I33 I34 I35 I36 I37 K7 K8 K9 K10 K11 K12 K13 K14 K15 K16 K17 K18 K19 K20 K21 K22 K23 K24 K25 K26 K27 K28 K29 K30 K31 K32 K33 K34 K35 K36 K37 L7 L8 L9 L10 L11 L12 L13 L14 L15 L16 L17 L18 L19 L20 L21 L22 L23 L24 L25 L26 L27 L28 L29 L30 L31 L32 L33 L34 L35 L36 L37 M7 M8 M9 M10 M11 M12 M13 M14 M15 M16 M17 M18 M19 M20 M21 M22 M23 M24 M25 M26 M27 M28 M29 M30 M31 M32 M33 M34 M35 M36 M37 O7 O8 O9 O10 O11 O12 O13 O14 O15 O16 O17 O18 O19 O20 O21 O22 O23 O24 O25 O26 O27 O28 O29 O30 O31 O32 O33 O34 O35 O36 O37 P7 P8 P9 P10 P11 P12 P13 P14 P15 P16 P17 P18 P19 P20 P21 P22 P23 P24 P25 P26 P27 P28 P29 P30 P31 P32 P33 P34 P35 P36 P37 R7 R8 R9 R10 R11 R12 R13 R14 R15 R16 R17 R18 R19 R20 R21 R22 R23 R24 R25 R26 R27 R28 R29 R30 R31 R32 R33 R34 R35 R36 R37 S7 S8 S9 S10 S11 S12 S13 S14 S15 S16 S17 S18 S19 S20 S21 S22 S23 S24 S25 S26 S27 S28 S29 S30 S31 S32 S33 S34 S35 S36 S37" showDropDown="0" showInputMessage="0" showErrorMessage="0" allowBlank="1" prompt="Ingresa un numero entero mayor o igual a 0." type="whole" operator="greaterThanOrEqual">
      <formula1>0</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W49"/>
  <sheetViews>
    <sheetView showGridLines="1" workbookViewId="0">
      <pane ySplit="6" topLeftCell="A7" activePane="bottomLeft" state="frozen"/>
      <selection pane="bottomLeft" activeCell="A1" sqref="A1"/>
    </sheetView>
  </sheetViews>
  <sheetFormatPr baseColWidth="8" defaultRowHeight="15"/>
  <cols>
    <col width="13" customWidth="1" min="1" max="1"/>
    <col width="7" customWidth="1" min="2" max="2"/>
    <col width="20" customWidth="1" min="3" max="3"/>
    <col width="13" customWidth="1" min="4" max="4"/>
    <col width="18" customWidth="1" min="5" max="5"/>
    <col width="15" customWidth="1" min="6" max="6"/>
    <col width="16" customWidth="1" min="7" max="7"/>
    <col width="10" customWidth="1" min="8" max="8"/>
    <col width="15" customWidth="1" min="9" max="9"/>
    <col width="13" customWidth="1" min="10" max="10"/>
    <col width="20" customWidth="1" min="11" max="11"/>
    <col width="22" customWidth="1" min="12" max="12"/>
    <col width="14" customWidth="1" min="13" max="13"/>
    <col width="13" customWidth="1" min="14" max="14"/>
    <col width="18" customWidth="1" min="15" max="15"/>
    <col width="18" customWidth="1" min="16" max="16"/>
    <col width="17" customWidth="1" min="17" max="17"/>
    <col width="16" customWidth="1" min="18" max="18"/>
    <col width="16" customWidth="1" min="19" max="19"/>
    <col width="34" customWidth="1" min="21" max="21"/>
    <col width="12" customWidth="1" min="22" max="22"/>
  </cols>
  <sheetData>
    <row r="1" ht="20" customHeight="1">
      <c r="A1" s="1" t="inlineStr">
        <is>
          <t>RESUMEN MENSUAL HODOM</t>
        </is>
      </c>
      <c r="U1" s="1" t="inlineStr">
        <is>
          <t>CONTROL</t>
        </is>
      </c>
    </row>
    <row r="2" ht="20" customHeight="1">
      <c r="A2" s="2" t="inlineStr">
        <is>
          <t>Servicio</t>
        </is>
      </c>
      <c r="B2" s="4">
        <f>00_PARAMETROS!B3</f>
        <v/>
      </c>
      <c r="C2" s="2" t="inlineStr">
        <is>
          <t>Codigo</t>
        </is>
      </c>
      <c r="D2" s="4">
        <f>00_PARAMETROS!B4</f>
        <v/>
      </c>
      <c r="E2" s="2" t="inlineStr">
        <is>
          <t>Mes</t>
        </is>
      </c>
      <c r="F2" s="3" t="inlineStr">
        <is>
          <t>SEPTIEMBRE</t>
        </is>
      </c>
      <c r="G2" s="2" t="inlineStr">
        <is>
          <t>Ano</t>
        </is>
      </c>
      <c r="H2" s="3" t="n">
        <v>2025</v>
      </c>
    </row>
    <row r="3" ht="20" customHeight="1">
      <c r="A3" s="2" t="inlineStr">
        <is>
          <t>Camas base</t>
        </is>
      </c>
      <c r="B3" s="4">
        <f>00_PARAMETROS!B5</f>
        <v/>
      </c>
      <c r="C3" s="2" t="inlineStr">
        <is>
          <t>Promedio camas</t>
        </is>
      </c>
      <c r="D3" s="4">
        <f>AVERAGE(P7:P36)</f>
        <v/>
      </c>
      <c r="E3" s="2" t="inlineStr">
        <is>
          <t>Dias del mes</t>
        </is>
      </c>
      <c r="F3" s="3" t="n">
        <v>30</v>
      </c>
      <c r="U3" s="5" t="inlineStr">
        <is>
          <t>Dias con ocupacion negativa</t>
        </is>
      </c>
      <c r="V3" s="4">
        <f>COUNTIF(Q7:Q36,"&lt;0")</f>
        <v/>
      </c>
    </row>
    <row r="4" ht="20" customHeight="1">
      <c r="U4" s="5" t="inlineStr">
        <is>
          <t>Dias sin camas disponibles</t>
        </is>
      </c>
      <c r="V4" s="4">
        <f>COUNTBLANK(P7:P36)</f>
        <v/>
      </c>
    </row>
    <row r="5" ht="20" customHeight="1">
      <c r="U5" s="5" t="inlineStr">
        <is>
          <t>Primer dia sin existencia inicial</t>
        </is>
      </c>
      <c r="V5" s="4">
        <f>IF(C7="",1,0)</f>
        <v/>
      </c>
    </row>
    <row r="6" ht="36" customHeight="1">
      <c r="A6" s="6" t="inlineStr">
        <is>
          <t>Fecha</t>
        </is>
      </c>
      <c r="B6" s="6" t="inlineStr">
        <is>
          <t>Dia</t>
        </is>
      </c>
      <c r="C6" s="6" t="inlineStr">
        <is>
          <t>Existencia dia anterior</t>
        </is>
      </c>
      <c r="D6" s="6" t="inlineStr">
        <is>
          <t>Ing. urgencia</t>
        </is>
      </c>
      <c r="E6" s="6" t="inlineStr">
        <is>
          <t>Ing. hospitalizacion</t>
        </is>
      </c>
      <c r="F6" s="6" t="inlineStr">
        <is>
          <t>Ing. ambulatorio</t>
        </is>
      </c>
      <c r="G6" s="6" t="inlineStr">
        <is>
          <t>Ing. ley urgencia</t>
        </is>
      </c>
      <c r="H6" s="6" t="inlineStr">
        <is>
          <t>Ing. UGCC</t>
        </is>
      </c>
      <c r="I6" s="6" t="inlineStr">
        <is>
          <t>Ing. por traslado</t>
        </is>
      </c>
      <c r="J6" s="6" t="inlineStr">
        <is>
          <t>Total ingresos</t>
        </is>
      </c>
      <c r="K6" s="6" t="inlineStr">
        <is>
          <t>Egr. alta hogar / otro hosp.</t>
        </is>
      </c>
      <c r="L6" s="6" t="inlineStr">
        <is>
          <t>Egr. traslado a otro servicio</t>
        </is>
      </c>
      <c r="M6" s="6" t="inlineStr">
        <is>
          <t>Egr. fallecidos</t>
        </is>
      </c>
      <c r="N6" s="6" t="inlineStr">
        <is>
          <t>Total egresos</t>
        </is>
      </c>
      <c r="O6" s="6" t="inlineStr">
        <is>
          <t>Ingr.-egr. mismo dia</t>
        </is>
      </c>
      <c r="P6" s="6" t="inlineStr">
        <is>
          <t>Dias cama disponibles</t>
        </is>
      </c>
      <c r="Q6" s="6" t="inlineStr">
        <is>
          <t>Dias cama ocupadas</t>
        </is>
      </c>
      <c r="R6" s="6" t="inlineStr">
        <is>
          <t>Dias estada total</t>
        </is>
      </c>
      <c r="S6" s="6" t="inlineStr">
        <is>
          <t>Dias estada benef.</t>
        </is>
      </c>
      <c r="U6" s="5" t="inlineStr">
        <is>
          <t>Dias con total ingresos manualmente alterado</t>
        </is>
      </c>
      <c r="V6" s="4" t="inlineStr">
        <is>
          <t>0</t>
        </is>
      </c>
    </row>
    <row r="7" ht="20" customHeight="1">
      <c r="A7" s="4">
        <f>DATE(2025,9,1)</f>
        <v/>
      </c>
      <c r="B7" s="4" t="n">
        <v>1</v>
      </c>
      <c r="C7" s="3" t="n"/>
      <c r="D7" s="3" t="n"/>
      <c r="E7" s="3" t="n"/>
      <c r="F7" s="3" t="n"/>
      <c r="G7" s="3" t="n"/>
      <c r="H7" s="3" t="n"/>
      <c r="I7" s="3" t="n"/>
      <c r="J7" s="4">
        <f>SUM(D7:H7)+I7</f>
        <v/>
      </c>
      <c r="K7" s="3" t="n"/>
      <c r="L7" s="3" t="n"/>
      <c r="M7" s="3" t="n"/>
      <c r="N7" s="4">
        <f>SUM(K7:M7)</f>
        <v/>
      </c>
      <c r="O7" s="3" t="n"/>
      <c r="P7" s="3">
        <f>00_PARAMETROS!B5</f>
        <v/>
      </c>
      <c r="Q7" s="4">
        <f>C7+J7-N7</f>
        <v/>
      </c>
      <c r="R7" s="3" t="n"/>
      <c r="S7" s="3" t="n"/>
      <c r="U7" s="5" t="inlineStr">
        <is>
          <t>Dias con total egresos manualmente alterado</t>
        </is>
      </c>
      <c r="V7" s="4" t="inlineStr">
        <is>
          <t>0</t>
        </is>
      </c>
    </row>
    <row r="8" ht="20" customHeight="1">
      <c r="A8" s="4">
        <f>DATE(2025,9,2)</f>
        <v/>
      </c>
      <c r="B8" s="4" t="n">
        <v>2</v>
      </c>
      <c r="C8" s="4">
        <f>Q7</f>
        <v/>
      </c>
      <c r="D8" s="3" t="n"/>
      <c r="E8" s="3" t="n"/>
      <c r="F8" s="3" t="n"/>
      <c r="G8" s="3" t="n"/>
      <c r="H8" s="3" t="n"/>
      <c r="I8" s="3" t="n"/>
      <c r="J8" s="4">
        <f>SUM(D8:H8)+I8</f>
        <v/>
      </c>
      <c r="K8" s="3" t="n"/>
      <c r="L8" s="3" t="n"/>
      <c r="M8" s="3" t="n"/>
      <c r="N8" s="4">
        <f>SUM(K8:M8)</f>
        <v/>
      </c>
      <c r="O8" s="3" t="n"/>
      <c r="P8" s="3">
        <f>00_PARAMETROS!B5</f>
        <v/>
      </c>
      <c r="Q8" s="4">
        <f>C8+J8-N8</f>
        <v/>
      </c>
      <c r="R8" s="3" t="n"/>
      <c r="S8" s="3" t="n"/>
    </row>
    <row r="9" ht="20" customHeight="1">
      <c r="A9" s="4">
        <f>DATE(2025,9,3)</f>
        <v/>
      </c>
      <c r="B9" s="4" t="n">
        <v>3</v>
      </c>
      <c r="C9" s="4">
        <f>Q8</f>
        <v/>
      </c>
      <c r="D9" s="3" t="n"/>
      <c r="E9" s="3" t="n"/>
      <c r="F9" s="3" t="n"/>
      <c r="G9" s="3" t="n"/>
      <c r="H9" s="3" t="n"/>
      <c r="I9" s="3" t="n"/>
      <c r="J9" s="4">
        <f>SUM(D9:H9)+I9</f>
        <v/>
      </c>
      <c r="K9" s="3" t="n"/>
      <c r="L9" s="3" t="n"/>
      <c r="M9" s="3" t="n"/>
      <c r="N9" s="4">
        <f>SUM(K9:M9)</f>
        <v/>
      </c>
      <c r="O9" s="3" t="n"/>
      <c r="P9" s="3">
        <f>00_PARAMETROS!B5</f>
        <v/>
      </c>
      <c r="Q9" s="4">
        <f>C9+J9-N9</f>
        <v/>
      </c>
      <c r="R9" s="3" t="n"/>
      <c r="S9" s="3" t="n"/>
    </row>
    <row r="10" ht="20" customHeight="1">
      <c r="A10" s="4">
        <f>DATE(2025,9,4)</f>
        <v/>
      </c>
      <c r="B10" s="4" t="n">
        <v>4</v>
      </c>
      <c r="C10" s="4">
        <f>Q9</f>
        <v/>
      </c>
      <c r="D10" s="3" t="n"/>
      <c r="E10" s="3" t="n"/>
      <c r="F10" s="3" t="n"/>
      <c r="G10" s="3" t="n"/>
      <c r="H10" s="3" t="n"/>
      <c r="I10" s="3" t="n"/>
      <c r="J10" s="4">
        <f>SUM(D10:H10)+I10</f>
        <v/>
      </c>
      <c r="K10" s="3" t="n"/>
      <c r="L10" s="3" t="n"/>
      <c r="M10" s="3" t="n"/>
      <c r="N10" s="4">
        <f>SUM(K10:M10)</f>
        <v/>
      </c>
      <c r="O10" s="3" t="n"/>
      <c r="P10" s="3">
        <f>00_PARAMETROS!B5</f>
        <v/>
      </c>
      <c r="Q10" s="4">
        <f>C10+J10-N10</f>
        <v/>
      </c>
      <c r="R10" s="3" t="n"/>
      <c r="S10" s="3" t="n"/>
    </row>
    <row r="11" ht="20" customHeight="1">
      <c r="A11" s="4">
        <f>DATE(2025,9,5)</f>
        <v/>
      </c>
      <c r="B11" s="4" t="n">
        <v>5</v>
      </c>
      <c r="C11" s="4">
        <f>Q10</f>
        <v/>
      </c>
      <c r="D11" s="3" t="n"/>
      <c r="E11" s="3" t="n"/>
      <c r="F11" s="3" t="n"/>
      <c r="G11" s="3" t="n"/>
      <c r="H11" s="3" t="n"/>
      <c r="I11" s="3" t="n"/>
      <c r="J11" s="4">
        <f>SUM(D11:H11)+I11</f>
        <v/>
      </c>
      <c r="K11" s="3" t="n"/>
      <c r="L11" s="3" t="n"/>
      <c r="M11" s="3" t="n"/>
      <c r="N11" s="4">
        <f>SUM(K11:M11)</f>
        <v/>
      </c>
      <c r="O11" s="3" t="n"/>
      <c r="P11" s="3">
        <f>00_PARAMETROS!B5</f>
        <v/>
      </c>
      <c r="Q11" s="4">
        <f>C11+J11-N11</f>
        <v/>
      </c>
      <c r="R11" s="3" t="n"/>
      <c r="S11" s="3" t="n"/>
    </row>
    <row r="12" ht="20" customHeight="1">
      <c r="A12" s="4">
        <f>DATE(2025,9,6)</f>
        <v/>
      </c>
      <c r="B12" s="4" t="n">
        <v>6</v>
      </c>
      <c r="C12" s="4">
        <f>Q11</f>
        <v/>
      </c>
      <c r="D12" s="3" t="n"/>
      <c r="E12" s="3" t="n"/>
      <c r="F12" s="3" t="n"/>
      <c r="G12" s="3" t="n"/>
      <c r="H12" s="3" t="n"/>
      <c r="I12" s="3" t="n"/>
      <c r="J12" s="4">
        <f>SUM(D12:H12)+I12</f>
        <v/>
      </c>
      <c r="K12" s="3" t="n"/>
      <c r="L12" s="3" t="n"/>
      <c r="M12" s="3" t="n"/>
      <c r="N12" s="4">
        <f>SUM(K12:M12)</f>
        <v/>
      </c>
      <c r="O12" s="3" t="n"/>
      <c r="P12" s="3">
        <f>00_PARAMETROS!B5</f>
        <v/>
      </c>
      <c r="Q12" s="4">
        <f>C12+J12-N12</f>
        <v/>
      </c>
      <c r="R12" s="3" t="n"/>
      <c r="S12" s="3" t="n"/>
    </row>
    <row r="13" ht="20" customHeight="1">
      <c r="A13" s="4">
        <f>DATE(2025,9,7)</f>
        <v/>
      </c>
      <c r="B13" s="4" t="n">
        <v>7</v>
      </c>
      <c r="C13" s="4">
        <f>Q12</f>
        <v/>
      </c>
      <c r="D13" s="3" t="n"/>
      <c r="E13" s="3" t="n"/>
      <c r="F13" s="3" t="n"/>
      <c r="G13" s="3" t="n"/>
      <c r="H13" s="3" t="n"/>
      <c r="I13" s="3" t="n"/>
      <c r="J13" s="4">
        <f>SUM(D13:H13)+I13</f>
        <v/>
      </c>
      <c r="K13" s="3" t="n"/>
      <c r="L13" s="3" t="n"/>
      <c r="M13" s="3" t="n"/>
      <c r="N13" s="4">
        <f>SUM(K13:M13)</f>
        <v/>
      </c>
      <c r="O13" s="3" t="n"/>
      <c r="P13" s="3">
        <f>00_PARAMETROS!B5</f>
        <v/>
      </c>
      <c r="Q13" s="4">
        <f>C13+J13-N13</f>
        <v/>
      </c>
      <c r="R13" s="3" t="n"/>
      <c r="S13" s="3" t="n"/>
    </row>
    <row r="14" ht="20" customHeight="1">
      <c r="A14" s="4">
        <f>DATE(2025,9,8)</f>
        <v/>
      </c>
      <c r="B14" s="4" t="n">
        <v>8</v>
      </c>
      <c r="C14" s="4">
        <f>Q13</f>
        <v/>
      </c>
      <c r="D14" s="3" t="n"/>
      <c r="E14" s="3" t="n"/>
      <c r="F14" s="3" t="n"/>
      <c r="G14" s="3" t="n"/>
      <c r="H14" s="3" t="n"/>
      <c r="I14" s="3" t="n"/>
      <c r="J14" s="4">
        <f>SUM(D14:H14)+I14</f>
        <v/>
      </c>
      <c r="K14" s="3" t="n"/>
      <c r="L14" s="3" t="n"/>
      <c r="M14" s="3" t="n"/>
      <c r="N14" s="4">
        <f>SUM(K14:M14)</f>
        <v/>
      </c>
      <c r="O14" s="3" t="n"/>
      <c r="P14" s="3">
        <f>00_PARAMETROS!B5</f>
        <v/>
      </c>
      <c r="Q14" s="4">
        <f>C14+J14-N14</f>
        <v/>
      </c>
      <c r="R14" s="3" t="n"/>
      <c r="S14" s="3" t="n"/>
    </row>
    <row r="15" ht="20" customHeight="1">
      <c r="A15" s="4">
        <f>DATE(2025,9,9)</f>
        <v/>
      </c>
      <c r="B15" s="4" t="n">
        <v>9</v>
      </c>
      <c r="C15" s="4">
        <f>Q14</f>
        <v/>
      </c>
      <c r="D15" s="3" t="n"/>
      <c r="E15" s="3" t="n"/>
      <c r="F15" s="3" t="n"/>
      <c r="G15" s="3" t="n"/>
      <c r="H15" s="3" t="n"/>
      <c r="I15" s="3" t="n"/>
      <c r="J15" s="4">
        <f>SUM(D15:H15)+I15</f>
        <v/>
      </c>
      <c r="K15" s="3" t="n"/>
      <c r="L15" s="3" t="n"/>
      <c r="M15" s="3" t="n"/>
      <c r="N15" s="4">
        <f>SUM(K15:M15)</f>
        <v/>
      </c>
      <c r="O15" s="3" t="n"/>
      <c r="P15" s="3">
        <f>00_PARAMETROS!B5</f>
        <v/>
      </c>
      <c r="Q15" s="4">
        <f>C15+J15-N15</f>
        <v/>
      </c>
      <c r="R15" s="3" t="n"/>
      <c r="S15" s="3" t="n"/>
    </row>
    <row r="16" ht="20" customHeight="1">
      <c r="A16" s="4">
        <f>DATE(2025,9,10)</f>
        <v/>
      </c>
      <c r="B16" s="4" t="n">
        <v>10</v>
      </c>
      <c r="C16" s="4">
        <f>Q15</f>
        <v/>
      </c>
      <c r="D16" s="3" t="n"/>
      <c r="E16" s="3" t="n"/>
      <c r="F16" s="3" t="n"/>
      <c r="G16" s="3" t="n"/>
      <c r="H16" s="3" t="n"/>
      <c r="I16" s="3" t="n"/>
      <c r="J16" s="4">
        <f>SUM(D16:H16)+I16</f>
        <v/>
      </c>
      <c r="K16" s="3" t="n"/>
      <c r="L16" s="3" t="n"/>
      <c r="M16" s="3" t="n"/>
      <c r="N16" s="4">
        <f>SUM(K16:M16)</f>
        <v/>
      </c>
      <c r="O16" s="3" t="n"/>
      <c r="P16" s="3">
        <f>00_PARAMETROS!B5</f>
        <v/>
      </c>
      <c r="Q16" s="4">
        <f>C16+J16-N16</f>
        <v/>
      </c>
      <c r="R16" s="3" t="n"/>
      <c r="S16" s="3" t="n"/>
    </row>
    <row r="17" ht="20" customHeight="1">
      <c r="A17" s="4">
        <f>DATE(2025,9,11)</f>
        <v/>
      </c>
      <c r="B17" s="4" t="n">
        <v>11</v>
      </c>
      <c r="C17" s="4">
        <f>Q16</f>
        <v/>
      </c>
      <c r="D17" s="3" t="n"/>
      <c r="E17" s="3" t="n"/>
      <c r="F17" s="3" t="n"/>
      <c r="G17" s="3" t="n"/>
      <c r="H17" s="3" t="n"/>
      <c r="I17" s="3" t="n"/>
      <c r="J17" s="4">
        <f>SUM(D17:H17)+I17</f>
        <v/>
      </c>
      <c r="K17" s="3" t="n"/>
      <c r="L17" s="3" t="n"/>
      <c r="M17" s="3" t="n"/>
      <c r="N17" s="4">
        <f>SUM(K17:M17)</f>
        <v/>
      </c>
      <c r="O17" s="3" t="n"/>
      <c r="P17" s="3">
        <f>00_PARAMETROS!B5</f>
        <v/>
      </c>
      <c r="Q17" s="4">
        <f>C17+J17-N17</f>
        <v/>
      </c>
      <c r="R17" s="3" t="n"/>
      <c r="S17" s="3" t="n"/>
    </row>
    <row r="18" ht="20" customHeight="1">
      <c r="A18" s="4">
        <f>DATE(2025,9,12)</f>
        <v/>
      </c>
      <c r="B18" s="4" t="n">
        <v>12</v>
      </c>
      <c r="C18" s="4">
        <f>Q17</f>
        <v/>
      </c>
      <c r="D18" s="3" t="n"/>
      <c r="E18" s="3" t="n"/>
      <c r="F18" s="3" t="n"/>
      <c r="G18" s="3" t="n"/>
      <c r="H18" s="3" t="n"/>
      <c r="I18" s="3" t="n"/>
      <c r="J18" s="4">
        <f>SUM(D18:H18)+I18</f>
        <v/>
      </c>
      <c r="K18" s="3" t="n"/>
      <c r="L18" s="3" t="n"/>
      <c r="M18" s="3" t="n"/>
      <c r="N18" s="4">
        <f>SUM(K18:M18)</f>
        <v/>
      </c>
      <c r="O18" s="3" t="n"/>
      <c r="P18" s="3">
        <f>00_PARAMETROS!B5</f>
        <v/>
      </c>
      <c r="Q18" s="4">
        <f>C18+J18-N18</f>
        <v/>
      </c>
      <c r="R18" s="3" t="n"/>
      <c r="S18" s="3" t="n"/>
    </row>
    <row r="19" ht="20" customHeight="1">
      <c r="A19" s="4">
        <f>DATE(2025,9,13)</f>
        <v/>
      </c>
      <c r="B19" s="4" t="n">
        <v>13</v>
      </c>
      <c r="C19" s="4">
        <f>Q18</f>
        <v/>
      </c>
      <c r="D19" s="3" t="n"/>
      <c r="E19" s="3" t="n"/>
      <c r="F19" s="3" t="n"/>
      <c r="G19" s="3" t="n"/>
      <c r="H19" s="3" t="n"/>
      <c r="I19" s="3" t="n"/>
      <c r="J19" s="4">
        <f>SUM(D19:H19)+I19</f>
        <v/>
      </c>
      <c r="K19" s="3" t="n"/>
      <c r="L19" s="3" t="n"/>
      <c r="M19" s="3" t="n"/>
      <c r="N19" s="4">
        <f>SUM(K19:M19)</f>
        <v/>
      </c>
      <c r="O19" s="3" t="n"/>
      <c r="P19" s="3">
        <f>00_PARAMETROS!B5</f>
        <v/>
      </c>
      <c r="Q19" s="4">
        <f>C19+J19-N19</f>
        <v/>
      </c>
      <c r="R19" s="3" t="n"/>
      <c r="S19" s="3" t="n"/>
    </row>
    <row r="20" ht="20" customHeight="1">
      <c r="A20" s="4">
        <f>DATE(2025,9,14)</f>
        <v/>
      </c>
      <c r="B20" s="4" t="n">
        <v>14</v>
      </c>
      <c r="C20" s="4">
        <f>Q19</f>
        <v/>
      </c>
      <c r="D20" s="3" t="n"/>
      <c r="E20" s="3" t="n"/>
      <c r="F20" s="3" t="n"/>
      <c r="G20" s="3" t="n"/>
      <c r="H20" s="3" t="n"/>
      <c r="I20" s="3" t="n"/>
      <c r="J20" s="4">
        <f>SUM(D20:H20)+I20</f>
        <v/>
      </c>
      <c r="K20" s="3" t="n"/>
      <c r="L20" s="3" t="n"/>
      <c r="M20" s="3" t="n"/>
      <c r="N20" s="4">
        <f>SUM(K20:M20)</f>
        <v/>
      </c>
      <c r="O20" s="3" t="n"/>
      <c r="P20" s="3">
        <f>00_PARAMETROS!B5</f>
        <v/>
      </c>
      <c r="Q20" s="4">
        <f>C20+J20-N20</f>
        <v/>
      </c>
      <c r="R20" s="3" t="n"/>
      <c r="S20" s="3" t="n"/>
    </row>
    <row r="21" ht="20" customHeight="1">
      <c r="A21" s="4">
        <f>DATE(2025,9,15)</f>
        <v/>
      </c>
      <c r="B21" s="4" t="n">
        <v>15</v>
      </c>
      <c r="C21" s="4">
        <f>Q20</f>
        <v/>
      </c>
      <c r="D21" s="3" t="n"/>
      <c r="E21" s="3" t="n"/>
      <c r="F21" s="3" t="n"/>
      <c r="G21" s="3" t="n"/>
      <c r="H21" s="3" t="n"/>
      <c r="I21" s="3" t="n"/>
      <c r="J21" s="4">
        <f>SUM(D21:H21)+I21</f>
        <v/>
      </c>
      <c r="K21" s="3" t="n"/>
      <c r="L21" s="3" t="n"/>
      <c r="M21" s="3" t="n"/>
      <c r="N21" s="4">
        <f>SUM(K21:M21)</f>
        <v/>
      </c>
      <c r="O21" s="3" t="n"/>
      <c r="P21" s="3">
        <f>00_PARAMETROS!B5</f>
        <v/>
      </c>
      <c r="Q21" s="4">
        <f>C21+J21-N21</f>
        <v/>
      </c>
      <c r="R21" s="3" t="n"/>
      <c r="S21" s="3" t="n"/>
    </row>
    <row r="22" ht="20" customHeight="1">
      <c r="A22" s="4">
        <f>DATE(2025,9,16)</f>
        <v/>
      </c>
      <c r="B22" s="4" t="n">
        <v>16</v>
      </c>
      <c r="C22" s="4">
        <f>Q21</f>
        <v/>
      </c>
      <c r="D22" s="3" t="n"/>
      <c r="E22" s="3" t="n"/>
      <c r="F22" s="3" t="n"/>
      <c r="G22" s="3" t="n"/>
      <c r="H22" s="3" t="n"/>
      <c r="I22" s="3" t="n"/>
      <c r="J22" s="4">
        <f>SUM(D22:H22)+I22</f>
        <v/>
      </c>
      <c r="K22" s="3" t="n"/>
      <c r="L22" s="3" t="n"/>
      <c r="M22" s="3" t="n"/>
      <c r="N22" s="4">
        <f>SUM(K22:M22)</f>
        <v/>
      </c>
      <c r="O22" s="3" t="n"/>
      <c r="P22" s="3">
        <f>00_PARAMETROS!B5</f>
        <v/>
      </c>
      <c r="Q22" s="4">
        <f>C22+J22-N22</f>
        <v/>
      </c>
      <c r="R22" s="3" t="n"/>
      <c r="S22" s="3" t="n"/>
    </row>
    <row r="23" ht="20" customHeight="1">
      <c r="A23" s="4">
        <f>DATE(2025,9,17)</f>
        <v/>
      </c>
      <c r="B23" s="4" t="n">
        <v>17</v>
      </c>
      <c r="C23" s="4">
        <f>Q22</f>
        <v/>
      </c>
      <c r="D23" s="3" t="n"/>
      <c r="E23" s="3" t="n"/>
      <c r="F23" s="3" t="n"/>
      <c r="G23" s="3" t="n"/>
      <c r="H23" s="3" t="n"/>
      <c r="I23" s="3" t="n"/>
      <c r="J23" s="4">
        <f>SUM(D23:H23)+I23</f>
        <v/>
      </c>
      <c r="K23" s="3" t="n"/>
      <c r="L23" s="3" t="n"/>
      <c r="M23" s="3" t="n"/>
      <c r="N23" s="4">
        <f>SUM(K23:M23)</f>
        <v/>
      </c>
      <c r="O23" s="3" t="n"/>
      <c r="P23" s="3">
        <f>00_PARAMETROS!B5</f>
        <v/>
      </c>
      <c r="Q23" s="4">
        <f>C23+J23-N23</f>
        <v/>
      </c>
      <c r="R23" s="3" t="n"/>
      <c r="S23" s="3" t="n"/>
    </row>
    <row r="24" ht="20" customHeight="1">
      <c r="A24" s="4">
        <f>DATE(2025,9,18)</f>
        <v/>
      </c>
      <c r="B24" s="4" t="n">
        <v>18</v>
      </c>
      <c r="C24" s="4">
        <f>Q23</f>
        <v/>
      </c>
      <c r="D24" s="3" t="n"/>
      <c r="E24" s="3" t="n"/>
      <c r="F24" s="3" t="n"/>
      <c r="G24" s="3" t="n"/>
      <c r="H24" s="3" t="n"/>
      <c r="I24" s="3" t="n"/>
      <c r="J24" s="4">
        <f>SUM(D24:H24)+I24</f>
        <v/>
      </c>
      <c r="K24" s="3" t="n"/>
      <c r="L24" s="3" t="n"/>
      <c r="M24" s="3" t="n"/>
      <c r="N24" s="4">
        <f>SUM(K24:M24)</f>
        <v/>
      </c>
      <c r="O24" s="3" t="n"/>
      <c r="P24" s="3">
        <f>00_PARAMETROS!B5</f>
        <v/>
      </c>
      <c r="Q24" s="4">
        <f>C24+J24-N24</f>
        <v/>
      </c>
      <c r="R24" s="3" t="n"/>
      <c r="S24" s="3" t="n"/>
    </row>
    <row r="25" ht="20" customHeight="1">
      <c r="A25" s="4">
        <f>DATE(2025,9,19)</f>
        <v/>
      </c>
      <c r="B25" s="4" t="n">
        <v>19</v>
      </c>
      <c r="C25" s="4">
        <f>Q24</f>
        <v/>
      </c>
      <c r="D25" s="3" t="n"/>
      <c r="E25" s="3" t="n"/>
      <c r="F25" s="3" t="n"/>
      <c r="G25" s="3" t="n"/>
      <c r="H25" s="3" t="n"/>
      <c r="I25" s="3" t="n"/>
      <c r="J25" s="4">
        <f>SUM(D25:H25)+I25</f>
        <v/>
      </c>
      <c r="K25" s="3" t="n"/>
      <c r="L25" s="3" t="n"/>
      <c r="M25" s="3" t="n"/>
      <c r="N25" s="4">
        <f>SUM(K25:M25)</f>
        <v/>
      </c>
      <c r="O25" s="3" t="n"/>
      <c r="P25" s="3">
        <f>00_PARAMETROS!B5</f>
        <v/>
      </c>
      <c r="Q25" s="4">
        <f>C25+J25-N25</f>
        <v/>
      </c>
      <c r="R25" s="3" t="n"/>
      <c r="S25" s="3" t="n"/>
    </row>
    <row r="26" ht="20" customHeight="1">
      <c r="A26" s="4">
        <f>DATE(2025,9,20)</f>
        <v/>
      </c>
      <c r="B26" s="4" t="n">
        <v>20</v>
      </c>
      <c r="C26" s="4">
        <f>Q25</f>
        <v/>
      </c>
      <c r="D26" s="3" t="n"/>
      <c r="E26" s="3" t="n"/>
      <c r="F26" s="3" t="n"/>
      <c r="G26" s="3" t="n"/>
      <c r="H26" s="3" t="n"/>
      <c r="I26" s="3" t="n"/>
      <c r="J26" s="4">
        <f>SUM(D26:H26)+I26</f>
        <v/>
      </c>
      <c r="K26" s="3" t="n"/>
      <c r="L26" s="3" t="n"/>
      <c r="M26" s="3" t="n"/>
      <c r="N26" s="4">
        <f>SUM(K26:M26)</f>
        <v/>
      </c>
      <c r="O26" s="3" t="n"/>
      <c r="P26" s="3">
        <f>00_PARAMETROS!B5</f>
        <v/>
      </c>
      <c r="Q26" s="4">
        <f>C26+J26-N26</f>
        <v/>
      </c>
      <c r="R26" s="3" t="n"/>
      <c r="S26" s="3" t="n"/>
    </row>
    <row r="27" ht="20" customHeight="1">
      <c r="A27" s="4">
        <f>DATE(2025,9,21)</f>
        <v/>
      </c>
      <c r="B27" s="4" t="n">
        <v>21</v>
      </c>
      <c r="C27" s="4">
        <f>Q26</f>
        <v/>
      </c>
      <c r="D27" s="3" t="n"/>
      <c r="E27" s="3" t="n"/>
      <c r="F27" s="3" t="n"/>
      <c r="G27" s="3" t="n"/>
      <c r="H27" s="3" t="n"/>
      <c r="I27" s="3" t="n"/>
      <c r="J27" s="4">
        <f>SUM(D27:H27)+I27</f>
        <v/>
      </c>
      <c r="K27" s="3" t="n"/>
      <c r="L27" s="3" t="n"/>
      <c r="M27" s="3" t="n"/>
      <c r="N27" s="4">
        <f>SUM(K27:M27)</f>
        <v/>
      </c>
      <c r="O27" s="3" t="n"/>
      <c r="P27" s="3">
        <f>00_PARAMETROS!B5</f>
        <v/>
      </c>
      <c r="Q27" s="4">
        <f>C27+J27-N27</f>
        <v/>
      </c>
      <c r="R27" s="3" t="n"/>
      <c r="S27" s="3" t="n"/>
    </row>
    <row r="28" ht="20" customHeight="1">
      <c r="A28" s="4">
        <f>DATE(2025,9,22)</f>
        <v/>
      </c>
      <c r="B28" s="4" t="n">
        <v>22</v>
      </c>
      <c r="C28" s="4">
        <f>Q27</f>
        <v/>
      </c>
      <c r="D28" s="3" t="n"/>
      <c r="E28" s="3" t="n"/>
      <c r="F28" s="3" t="n"/>
      <c r="G28" s="3" t="n"/>
      <c r="H28" s="3" t="n"/>
      <c r="I28" s="3" t="n"/>
      <c r="J28" s="4">
        <f>SUM(D28:H28)+I28</f>
        <v/>
      </c>
      <c r="K28" s="3" t="n"/>
      <c r="L28" s="3" t="n"/>
      <c r="M28" s="3" t="n"/>
      <c r="N28" s="4">
        <f>SUM(K28:M28)</f>
        <v/>
      </c>
      <c r="O28" s="3" t="n"/>
      <c r="P28" s="3">
        <f>00_PARAMETROS!B5</f>
        <v/>
      </c>
      <c r="Q28" s="4">
        <f>C28+J28-N28</f>
        <v/>
      </c>
      <c r="R28" s="3" t="n"/>
      <c r="S28" s="3" t="n"/>
    </row>
    <row r="29" ht="20" customHeight="1">
      <c r="A29" s="4">
        <f>DATE(2025,9,23)</f>
        <v/>
      </c>
      <c r="B29" s="4" t="n">
        <v>23</v>
      </c>
      <c r="C29" s="4">
        <f>Q28</f>
        <v/>
      </c>
      <c r="D29" s="3" t="n"/>
      <c r="E29" s="3" t="n"/>
      <c r="F29" s="3" t="n"/>
      <c r="G29" s="3" t="n"/>
      <c r="H29" s="3" t="n"/>
      <c r="I29" s="3" t="n"/>
      <c r="J29" s="4">
        <f>SUM(D29:H29)+I29</f>
        <v/>
      </c>
      <c r="K29" s="3" t="n"/>
      <c r="L29" s="3" t="n"/>
      <c r="M29" s="3" t="n"/>
      <c r="N29" s="4">
        <f>SUM(K29:M29)</f>
        <v/>
      </c>
      <c r="O29" s="3" t="n"/>
      <c r="P29" s="3">
        <f>00_PARAMETROS!B5</f>
        <v/>
      </c>
      <c r="Q29" s="4">
        <f>C29+J29-N29</f>
        <v/>
      </c>
      <c r="R29" s="3" t="n"/>
      <c r="S29" s="3" t="n"/>
    </row>
    <row r="30" ht="20" customHeight="1">
      <c r="A30" s="4">
        <f>DATE(2025,9,24)</f>
        <v/>
      </c>
      <c r="B30" s="4" t="n">
        <v>24</v>
      </c>
      <c r="C30" s="4">
        <f>Q29</f>
        <v/>
      </c>
      <c r="D30" s="3" t="n"/>
      <c r="E30" s="3" t="n"/>
      <c r="F30" s="3" t="n"/>
      <c r="G30" s="3" t="n"/>
      <c r="H30" s="3" t="n"/>
      <c r="I30" s="3" t="n"/>
      <c r="J30" s="4">
        <f>SUM(D30:H30)+I30</f>
        <v/>
      </c>
      <c r="K30" s="3" t="n"/>
      <c r="L30" s="3" t="n"/>
      <c r="M30" s="3" t="n"/>
      <c r="N30" s="4">
        <f>SUM(K30:M30)</f>
        <v/>
      </c>
      <c r="O30" s="3" t="n"/>
      <c r="P30" s="3">
        <f>00_PARAMETROS!B5</f>
        <v/>
      </c>
      <c r="Q30" s="4">
        <f>C30+J30-N30</f>
        <v/>
      </c>
      <c r="R30" s="3" t="n"/>
      <c r="S30" s="3" t="n"/>
    </row>
    <row r="31" ht="20" customHeight="1">
      <c r="A31" s="4">
        <f>DATE(2025,9,25)</f>
        <v/>
      </c>
      <c r="B31" s="4" t="n">
        <v>25</v>
      </c>
      <c r="C31" s="4">
        <f>Q30</f>
        <v/>
      </c>
      <c r="D31" s="3" t="n"/>
      <c r="E31" s="3" t="n"/>
      <c r="F31" s="3" t="n"/>
      <c r="G31" s="3" t="n"/>
      <c r="H31" s="3" t="n"/>
      <c r="I31" s="3" t="n"/>
      <c r="J31" s="4">
        <f>SUM(D31:H31)+I31</f>
        <v/>
      </c>
      <c r="K31" s="3" t="n"/>
      <c r="L31" s="3" t="n"/>
      <c r="M31" s="3" t="n"/>
      <c r="N31" s="4">
        <f>SUM(K31:M31)</f>
        <v/>
      </c>
      <c r="O31" s="3" t="n"/>
      <c r="P31" s="3">
        <f>00_PARAMETROS!B5</f>
        <v/>
      </c>
      <c r="Q31" s="4">
        <f>C31+J31-N31</f>
        <v/>
      </c>
      <c r="R31" s="3" t="n"/>
      <c r="S31" s="3" t="n"/>
    </row>
    <row r="32" ht="20" customHeight="1">
      <c r="A32" s="4">
        <f>DATE(2025,9,26)</f>
        <v/>
      </c>
      <c r="B32" s="4" t="n">
        <v>26</v>
      </c>
      <c r="C32" s="4">
        <f>Q31</f>
        <v/>
      </c>
      <c r="D32" s="3" t="n"/>
      <c r="E32" s="3" t="n"/>
      <c r="F32" s="3" t="n"/>
      <c r="G32" s="3" t="n"/>
      <c r="H32" s="3" t="n"/>
      <c r="I32" s="3" t="n"/>
      <c r="J32" s="4">
        <f>SUM(D32:H32)+I32</f>
        <v/>
      </c>
      <c r="K32" s="3" t="n"/>
      <c r="L32" s="3" t="n"/>
      <c r="M32" s="3" t="n"/>
      <c r="N32" s="4">
        <f>SUM(K32:M32)</f>
        <v/>
      </c>
      <c r="O32" s="3" t="n"/>
      <c r="P32" s="3">
        <f>00_PARAMETROS!B5</f>
        <v/>
      </c>
      <c r="Q32" s="4">
        <f>C32+J32-N32</f>
        <v/>
      </c>
      <c r="R32" s="3" t="n"/>
      <c r="S32" s="3" t="n"/>
    </row>
    <row r="33" ht="20" customHeight="1">
      <c r="A33" s="4">
        <f>DATE(2025,9,27)</f>
        <v/>
      </c>
      <c r="B33" s="4" t="n">
        <v>27</v>
      </c>
      <c r="C33" s="4">
        <f>Q32</f>
        <v/>
      </c>
      <c r="D33" s="3" t="n"/>
      <c r="E33" s="3" t="n"/>
      <c r="F33" s="3" t="n"/>
      <c r="G33" s="3" t="n"/>
      <c r="H33" s="3" t="n"/>
      <c r="I33" s="3" t="n"/>
      <c r="J33" s="4">
        <f>SUM(D33:H33)+I33</f>
        <v/>
      </c>
      <c r="K33" s="3" t="n"/>
      <c r="L33" s="3" t="n"/>
      <c r="M33" s="3" t="n"/>
      <c r="N33" s="4">
        <f>SUM(K33:M33)</f>
        <v/>
      </c>
      <c r="O33" s="3" t="n"/>
      <c r="P33" s="3">
        <f>00_PARAMETROS!B5</f>
        <v/>
      </c>
      <c r="Q33" s="4">
        <f>C33+J33-N33</f>
        <v/>
      </c>
      <c r="R33" s="3" t="n"/>
      <c r="S33" s="3" t="n"/>
    </row>
    <row r="34" ht="20" customHeight="1">
      <c r="A34" s="4">
        <f>DATE(2025,9,28)</f>
        <v/>
      </c>
      <c r="B34" s="4" t="n">
        <v>28</v>
      </c>
      <c r="C34" s="4">
        <f>Q33</f>
        <v/>
      </c>
      <c r="D34" s="3" t="n"/>
      <c r="E34" s="3" t="n"/>
      <c r="F34" s="3" t="n"/>
      <c r="G34" s="3" t="n"/>
      <c r="H34" s="3" t="n"/>
      <c r="I34" s="3" t="n"/>
      <c r="J34" s="4">
        <f>SUM(D34:H34)+I34</f>
        <v/>
      </c>
      <c r="K34" s="3" t="n"/>
      <c r="L34" s="3" t="n"/>
      <c r="M34" s="3" t="n"/>
      <c r="N34" s="4">
        <f>SUM(K34:M34)</f>
        <v/>
      </c>
      <c r="O34" s="3" t="n"/>
      <c r="P34" s="3">
        <f>00_PARAMETROS!B5</f>
        <v/>
      </c>
      <c r="Q34" s="4">
        <f>C34+J34-N34</f>
        <v/>
      </c>
      <c r="R34" s="3" t="n"/>
      <c r="S34" s="3" t="n"/>
    </row>
    <row r="35" ht="20" customHeight="1">
      <c r="A35" s="4">
        <f>DATE(2025,9,29)</f>
        <v/>
      </c>
      <c r="B35" s="4" t="n">
        <v>29</v>
      </c>
      <c r="C35" s="4">
        <f>Q34</f>
        <v/>
      </c>
      <c r="D35" s="3" t="n"/>
      <c r="E35" s="3" t="n"/>
      <c r="F35" s="3" t="n"/>
      <c r="G35" s="3" t="n"/>
      <c r="H35" s="3" t="n"/>
      <c r="I35" s="3" t="n"/>
      <c r="J35" s="4">
        <f>SUM(D35:H35)+I35</f>
        <v/>
      </c>
      <c r="K35" s="3" t="n"/>
      <c r="L35" s="3" t="n"/>
      <c r="M35" s="3" t="n"/>
      <c r="N35" s="4">
        <f>SUM(K35:M35)</f>
        <v/>
      </c>
      <c r="O35" s="3" t="n"/>
      <c r="P35" s="3">
        <f>00_PARAMETROS!B5</f>
        <v/>
      </c>
      <c r="Q35" s="4">
        <f>C35+J35-N35</f>
        <v/>
      </c>
      <c r="R35" s="3" t="n"/>
      <c r="S35" s="3" t="n"/>
    </row>
    <row r="36" ht="20" customHeight="1">
      <c r="A36" s="4">
        <f>DATE(2025,9,30)</f>
        <v/>
      </c>
      <c r="B36" s="4" t="n">
        <v>30</v>
      </c>
      <c r="C36" s="4">
        <f>Q35</f>
        <v/>
      </c>
      <c r="D36" s="3" t="n"/>
      <c r="E36" s="3" t="n"/>
      <c r="F36" s="3" t="n"/>
      <c r="G36" s="3" t="n"/>
      <c r="H36" s="3" t="n"/>
      <c r="I36" s="3" t="n"/>
      <c r="J36" s="4">
        <f>SUM(D36:H36)+I36</f>
        <v/>
      </c>
      <c r="K36" s="3" t="n"/>
      <c r="L36" s="3" t="n"/>
      <c r="M36" s="3" t="n"/>
      <c r="N36" s="4">
        <f>SUM(K36:M36)</f>
        <v/>
      </c>
      <c r="O36" s="3" t="n"/>
      <c r="P36" s="3">
        <f>00_PARAMETROS!B5</f>
        <v/>
      </c>
      <c r="Q36" s="4">
        <f>C36+J36-N36</f>
        <v/>
      </c>
      <c r="R36" s="3" t="n"/>
      <c r="S36" s="3" t="n"/>
    </row>
    <row r="37" ht="20" customHeight="1">
      <c r="A37" s="2" t="inlineStr">
        <is>
          <t>TOTAL</t>
        </is>
      </c>
      <c r="B37" s="7" t="n"/>
      <c r="C37" s="7" t="n"/>
      <c r="D37" s="8">
        <f>SUM(D7:D36)</f>
        <v/>
      </c>
      <c r="E37" s="8">
        <f>SUM(E7:E36)</f>
        <v/>
      </c>
      <c r="F37" s="8">
        <f>SUM(F7:F36)</f>
        <v/>
      </c>
      <c r="G37" s="8">
        <f>SUM(G7:G36)</f>
        <v/>
      </c>
      <c r="H37" s="8">
        <f>SUM(H7:H36)</f>
        <v/>
      </c>
      <c r="I37" s="8">
        <f>SUM(I7:I36)</f>
        <v/>
      </c>
      <c r="J37" s="8">
        <f>SUM(J7:J36)</f>
        <v/>
      </c>
      <c r="K37" s="8">
        <f>SUM(K7:K36)</f>
        <v/>
      </c>
      <c r="L37" s="8">
        <f>SUM(L7:L36)</f>
        <v/>
      </c>
      <c r="M37" s="8">
        <f>SUM(M7:M36)</f>
        <v/>
      </c>
      <c r="N37" s="8">
        <f>SUM(N7:N36)</f>
        <v/>
      </c>
      <c r="O37" s="8">
        <f>SUM(O7:O36)</f>
        <v/>
      </c>
      <c r="P37" s="8">
        <f>SUM(P7:P36)</f>
        <v/>
      </c>
      <c r="Q37" s="8">
        <f>SUM(Q7:Q36)</f>
        <v/>
      </c>
      <c r="R37" s="8">
        <f>SUM(R7:R36)</f>
        <v/>
      </c>
      <c r="S37" s="8">
        <f>SUM(S7:S36)</f>
        <v/>
      </c>
    </row>
    <row r="38" ht="20" customHeight="1"/>
    <row r="39" ht="20" customHeight="1"/>
    <row r="40" ht="20" customHeight="1">
      <c r="A40" s="2" t="inlineStr">
        <is>
          <t>RESUMEN DEL MES</t>
        </is>
      </c>
      <c r="B40" s="9" t="n"/>
      <c r="C40" s="9" t="n"/>
      <c r="D40" s="10" t="n"/>
    </row>
    <row r="41" ht="20" customHeight="1">
      <c r="A41" s="11" t="inlineStr">
        <is>
          <t>Ingresos</t>
        </is>
      </c>
      <c r="B41" s="4">
        <f>J37</f>
        <v/>
      </c>
    </row>
    <row r="42" ht="20" customHeight="1">
      <c r="A42" s="11" t="inlineStr">
        <is>
          <t>Altas al hogar / otro hosp.</t>
        </is>
      </c>
      <c r="B42" s="4">
        <f>K37</f>
        <v/>
      </c>
    </row>
    <row r="43" ht="20" customHeight="1">
      <c r="A43" s="11" t="inlineStr">
        <is>
          <t>Traslados a otro servicio</t>
        </is>
      </c>
      <c r="B43" s="4">
        <f>L37</f>
        <v/>
      </c>
    </row>
    <row r="44" ht="20" customHeight="1">
      <c r="A44" s="11" t="inlineStr">
        <is>
          <t>Fallecidos</t>
        </is>
      </c>
      <c r="B44" s="4">
        <f>M37</f>
        <v/>
      </c>
    </row>
    <row r="45" ht="20" customHeight="1">
      <c r="A45" s="11" t="inlineStr">
        <is>
          <t>Total egresos</t>
        </is>
      </c>
      <c r="B45" s="4">
        <f>N37</f>
        <v/>
      </c>
    </row>
    <row r="46" ht="20" customHeight="1">
      <c r="A46" s="11" t="inlineStr">
        <is>
          <t>Pacientes atendidos del mes</t>
        </is>
      </c>
      <c r="B46" s="4">
        <f>C7+J37</f>
        <v/>
      </c>
    </row>
    <row r="47" ht="20" customHeight="1">
      <c r="A47" s="11" t="inlineStr">
        <is>
          <t>Dias personas atendidas</t>
        </is>
      </c>
      <c r="B47" s="4">
        <f>R37</f>
        <v/>
      </c>
    </row>
    <row r="48" ht="20" customHeight="1">
      <c r="A48" s="11" t="inlineStr">
        <is>
          <t>Indice ocupacional %</t>
        </is>
      </c>
      <c r="B48" s="12">
        <f>IFERROR(Q37/P37,"")</f>
        <v/>
      </c>
    </row>
    <row r="49" ht="20" customHeight="1">
      <c r="A49" s="11" t="inlineStr">
        <is>
          <t>Promedio dia de estada</t>
        </is>
      </c>
      <c r="B49" s="13">
        <f>IFERROR(R37/N37,"")</f>
        <v/>
      </c>
    </row>
  </sheetData>
  <sheetProtection selectLockedCells="1" selectUnlockedCells="1" sheet="1" objects="0" insertRows="1" insertHyperlinks="1" autoFilter="1" scenarios="0" formatColumns="1" deleteColumns="1" insertColumns="1" pivotTables="1" deleteRows="1" formatCells="1" formatRows="1" sort="1" password="C752"/>
  <mergeCells count="3">
    <mergeCell ref="U1:W1"/>
    <mergeCell ref="A40:D40"/>
    <mergeCell ref="A1:S1"/>
  </mergeCells>
  <dataValidations count="1">
    <dataValidation sqref="D7 D8 D9 D10 D11 D12 D13 D14 D15 D16 D17 D18 D19 D20 D21 D22 D23 D24 D25 D26 D27 D28 D29 D30 D31 D32 D33 D34 D35 D36 E7 E8 E9 E10 E11 E12 E13 E14 E15 E16 E17 E18 E19 E20 E21 E22 E23 E24 E25 E26 E27 E28 E29 E30 E31 E32 E33 E34 E35 E36 F7 F8 F9 F10 F11 F12 F13 F14 F15 F16 F17 F18 F19 F20 F21 F22 F23 F24 F25 F26 F27 F28 F29 F30 F31 F32 F33 F34 F35 F36 G7 G8 G9 G10 G11 G12 G13 G14 G15 G16 G17 G18 G19 G20 G21 G22 G23 G24 G25 G26 G27 G28 G29 G30 G31 G32 G33 G34 G35 G36 H7 H8 H9 H10 H11 H12 H13 H14 H15 H16 H17 H18 H19 H20 H21 H22 H23 H24 H25 H26 H27 H28 H29 H30 H31 H32 H33 H34 H35 H36 I7 I8 I9 I10 I11 I12 I13 I14 I15 I16 I17 I18 I19 I20 I21 I22 I23 I24 I25 I26 I27 I28 I29 I30 I31 I32 I33 I34 I35 I36 K7 K8 K9 K10 K11 K12 K13 K14 K15 K16 K17 K18 K19 K20 K21 K22 K23 K24 K25 K26 K27 K28 K29 K30 K31 K32 K33 K34 K35 K36 L7 L8 L9 L10 L11 L12 L13 L14 L15 L16 L17 L18 L19 L20 L21 L22 L23 L24 L25 L26 L27 L28 L29 L30 L31 L32 L33 L34 L35 L36 M7 M8 M9 M10 M11 M12 M13 M14 M15 M16 M17 M18 M19 M20 M21 M22 M23 M24 M25 M26 M27 M28 M29 M30 M31 M32 M33 M34 M35 M36 O7 O8 O9 O10 O11 O12 O13 O14 O15 O16 O17 O18 O19 O20 O21 O22 O23 O24 O25 O26 O27 O28 O29 O30 O31 O32 O33 O34 O35 O36 P7 P8 P9 P10 P11 P12 P13 P14 P15 P16 P17 P18 P19 P20 P21 P22 P23 P24 P25 P26 P27 P28 P29 P30 P31 P32 P33 P34 P35 P36 R7 R8 R9 R10 R11 R12 R13 R14 R15 R16 R17 R18 R19 R20 R21 R22 R23 R24 R25 R26 R27 R28 R29 R30 R31 R32 R33 R34 R35 R36 S7 S8 S9 S10 S11 S12 S13 S14 S15 S16 S17 S18 S19 S20 S21 S22 S23 S24 S25 S26 S27 S28 S29 S30 S31 S32 S33 S34 S35 S36" showDropDown="0" showInputMessage="0" showErrorMessage="0" allowBlank="1" prompt="Ingresa un numero entero mayor o igual a 0." type="whole" operator="greaterThanOrEqual">
      <formula1>0</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W50"/>
  <sheetViews>
    <sheetView showGridLines="1" workbookViewId="0">
      <pane ySplit="6" topLeftCell="A7" activePane="bottomLeft" state="frozen"/>
      <selection pane="bottomLeft" activeCell="A1" sqref="A1"/>
    </sheetView>
  </sheetViews>
  <sheetFormatPr baseColWidth="8" defaultRowHeight="15"/>
  <cols>
    <col width="13" customWidth="1" min="1" max="1"/>
    <col width="7" customWidth="1" min="2" max="2"/>
    <col width="20" customWidth="1" min="3" max="3"/>
    <col width="13" customWidth="1" min="4" max="4"/>
    <col width="18" customWidth="1" min="5" max="5"/>
    <col width="15" customWidth="1" min="6" max="6"/>
    <col width="16" customWidth="1" min="7" max="7"/>
    <col width="10" customWidth="1" min="8" max="8"/>
    <col width="15" customWidth="1" min="9" max="9"/>
    <col width="13" customWidth="1" min="10" max="10"/>
    <col width="20" customWidth="1" min="11" max="11"/>
    <col width="22" customWidth="1" min="12" max="12"/>
    <col width="14" customWidth="1" min="13" max="13"/>
    <col width="13" customWidth="1" min="14" max="14"/>
    <col width="18" customWidth="1" min="15" max="15"/>
    <col width="18" customWidth="1" min="16" max="16"/>
    <col width="17" customWidth="1" min="17" max="17"/>
    <col width="16" customWidth="1" min="18" max="18"/>
    <col width="16" customWidth="1" min="19" max="19"/>
    <col width="34" customWidth="1" min="21" max="21"/>
    <col width="12" customWidth="1" min="22" max="22"/>
  </cols>
  <sheetData>
    <row r="1" ht="20" customHeight="1">
      <c r="A1" s="1" t="inlineStr">
        <is>
          <t>RESUMEN MENSUAL HODOM</t>
        </is>
      </c>
      <c r="U1" s="1" t="inlineStr">
        <is>
          <t>CONTROL</t>
        </is>
      </c>
    </row>
    <row r="2" ht="20" customHeight="1">
      <c r="A2" s="2" t="inlineStr">
        <is>
          <t>Servicio</t>
        </is>
      </c>
      <c r="B2" s="4">
        <f>00_PARAMETROS!B3</f>
        <v/>
      </c>
      <c r="C2" s="2" t="inlineStr">
        <is>
          <t>Codigo</t>
        </is>
      </c>
      <c r="D2" s="4">
        <f>00_PARAMETROS!B4</f>
        <v/>
      </c>
      <c r="E2" s="2" t="inlineStr">
        <is>
          <t>Mes</t>
        </is>
      </c>
      <c r="F2" s="3" t="inlineStr">
        <is>
          <t>OCTUBRE</t>
        </is>
      </c>
      <c r="G2" s="2" t="inlineStr">
        <is>
          <t>Ano</t>
        </is>
      </c>
      <c r="H2" s="3" t="n">
        <v>2025</v>
      </c>
    </row>
    <row r="3" ht="20" customHeight="1">
      <c r="A3" s="2" t="inlineStr">
        <is>
          <t>Camas base</t>
        </is>
      </c>
      <c r="B3" s="4">
        <f>00_PARAMETROS!B5</f>
        <v/>
      </c>
      <c r="C3" s="2" t="inlineStr">
        <is>
          <t>Promedio camas</t>
        </is>
      </c>
      <c r="D3" s="4">
        <f>AVERAGE(P7:P37)</f>
        <v/>
      </c>
      <c r="E3" s="2" t="inlineStr">
        <is>
          <t>Dias del mes</t>
        </is>
      </c>
      <c r="F3" s="3" t="n">
        <v>31</v>
      </c>
      <c r="U3" s="5" t="inlineStr">
        <is>
          <t>Dias con ocupacion negativa</t>
        </is>
      </c>
      <c r="V3" s="4">
        <f>COUNTIF(Q7:Q37,"&lt;0")</f>
        <v/>
      </c>
    </row>
    <row r="4" ht="20" customHeight="1">
      <c r="U4" s="5" t="inlineStr">
        <is>
          <t>Dias sin camas disponibles</t>
        </is>
      </c>
      <c r="V4" s="4">
        <f>COUNTBLANK(P7:P37)</f>
        <v/>
      </c>
    </row>
    <row r="5" ht="20" customHeight="1">
      <c r="U5" s="5" t="inlineStr">
        <is>
          <t>Primer dia sin existencia inicial</t>
        </is>
      </c>
      <c r="V5" s="4">
        <f>IF(C7="",1,0)</f>
        <v/>
      </c>
    </row>
    <row r="6" ht="36" customHeight="1">
      <c r="A6" s="6" t="inlineStr">
        <is>
          <t>Fecha</t>
        </is>
      </c>
      <c r="B6" s="6" t="inlineStr">
        <is>
          <t>Dia</t>
        </is>
      </c>
      <c r="C6" s="6" t="inlineStr">
        <is>
          <t>Existencia dia anterior</t>
        </is>
      </c>
      <c r="D6" s="6" t="inlineStr">
        <is>
          <t>Ing. urgencia</t>
        </is>
      </c>
      <c r="E6" s="6" t="inlineStr">
        <is>
          <t>Ing. hospitalizacion</t>
        </is>
      </c>
      <c r="F6" s="6" t="inlineStr">
        <is>
          <t>Ing. ambulatorio</t>
        </is>
      </c>
      <c r="G6" s="6" t="inlineStr">
        <is>
          <t>Ing. ley urgencia</t>
        </is>
      </c>
      <c r="H6" s="6" t="inlineStr">
        <is>
          <t>Ing. UGCC</t>
        </is>
      </c>
      <c r="I6" s="6" t="inlineStr">
        <is>
          <t>Ing. por traslado</t>
        </is>
      </c>
      <c r="J6" s="6" t="inlineStr">
        <is>
          <t>Total ingresos</t>
        </is>
      </c>
      <c r="K6" s="6" t="inlineStr">
        <is>
          <t>Egr. alta hogar / otro hosp.</t>
        </is>
      </c>
      <c r="L6" s="6" t="inlineStr">
        <is>
          <t>Egr. traslado a otro servicio</t>
        </is>
      </c>
      <c r="M6" s="6" t="inlineStr">
        <is>
          <t>Egr. fallecidos</t>
        </is>
      </c>
      <c r="N6" s="6" t="inlineStr">
        <is>
          <t>Total egresos</t>
        </is>
      </c>
      <c r="O6" s="6" t="inlineStr">
        <is>
          <t>Ingr.-egr. mismo dia</t>
        </is>
      </c>
      <c r="P6" s="6" t="inlineStr">
        <is>
          <t>Dias cama disponibles</t>
        </is>
      </c>
      <c r="Q6" s="6" t="inlineStr">
        <is>
          <t>Dias cama ocupadas</t>
        </is>
      </c>
      <c r="R6" s="6" t="inlineStr">
        <is>
          <t>Dias estada total</t>
        </is>
      </c>
      <c r="S6" s="6" t="inlineStr">
        <is>
          <t>Dias estada benef.</t>
        </is>
      </c>
      <c r="U6" s="5" t="inlineStr">
        <is>
          <t>Dias con total ingresos manualmente alterado</t>
        </is>
      </c>
      <c r="V6" s="4" t="inlineStr">
        <is>
          <t>0</t>
        </is>
      </c>
    </row>
    <row r="7" ht="20" customHeight="1">
      <c r="A7" s="4">
        <f>DATE(2025,10,1)</f>
        <v/>
      </c>
      <c r="B7" s="4" t="n">
        <v>1</v>
      </c>
      <c r="C7" s="3" t="n"/>
      <c r="D7" s="3" t="n"/>
      <c r="E7" s="3" t="n"/>
      <c r="F7" s="3" t="n"/>
      <c r="G7" s="3" t="n"/>
      <c r="H7" s="3" t="n"/>
      <c r="I7" s="3" t="n"/>
      <c r="J7" s="4">
        <f>SUM(D7:H7)+I7</f>
        <v/>
      </c>
      <c r="K7" s="3" t="n"/>
      <c r="L7" s="3" t="n"/>
      <c r="M7" s="3" t="n"/>
      <c r="N7" s="4">
        <f>SUM(K7:M7)</f>
        <v/>
      </c>
      <c r="O7" s="3" t="n"/>
      <c r="P7" s="3">
        <f>00_PARAMETROS!B5</f>
        <v/>
      </c>
      <c r="Q7" s="4">
        <f>C7+J7-N7</f>
        <v/>
      </c>
      <c r="R7" s="3" t="n"/>
      <c r="S7" s="3" t="n"/>
      <c r="U7" s="5" t="inlineStr">
        <is>
          <t>Dias con total egresos manualmente alterado</t>
        </is>
      </c>
      <c r="V7" s="4" t="inlineStr">
        <is>
          <t>0</t>
        </is>
      </c>
    </row>
    <row r="8" ht="20" customHeight="1">
      <c r="A8" s="4">
        <f>DATE(2025,10,2)</f>
        <v/>
      </c>
      <c r="B8" s="4" t="n">
        <v>2</v>
      </c>
      <c r="C8" s="4">
        <f>Q7</f>
        <v/>
      </c>
      <c r="D8" s="3" t="n"/>
      <c r="E8" s="3" t="n"/>
      <c r="F8" s="3" t="n"/>
      <c r="G8" s="3" t="n"/>
      <c r="H8" s="3" t="n"/>
      <c r="I8" s="3" t="n"/>
      <c r="J8" s="4">
        <f>SUM(D8:H8)+I8</f>
        <v/>
      </c>
      <c r="K8" s="3" t="n"/>
      <c r="L8" s="3" t="n"/>
      <c r="M8" s="3" t="n"/>
      <c r="N8" s="4">
        <f>SUM(K8:M8)</f>
        <v/>
      </c>
      <c r="O8" s="3" t="n"/>
      <c r="P8" s="3">
        <f>00_PARAMETROS!B5</f>
        <v/>
      </c>
      <c r="Q8" s="4">
        <f>C8+J8-N8</f>
        <v/>
      </c>
      <c r="R8" s="3" t="n"/>
      <c r="S8" s="3" t="n"/>
    </row>
    <row r="9" ht="20" customHeight="1">
      <c r="A9" s="4">
        <f>DATE(2025,10,3)</f>
        <v/>
      </c>
      <c r="B9" s="4" t="n">
        <v>3</v>
      </c>
      <c r="C9" s="4">
        <f>Q8</f>
        <v/>
      </c>
      <c r="D9" s="3" t="n"/>
      <c r="E9" s="3" t="n"/>
      <c r="F9" s="3" t="n"/>
      <c r="G9" s="3" t="n"/>
      <c r="H9" s="3" t="n"/>
      <c r="I9" s="3" t="n"/>
      <c r="J9" s="4">
        <f>SUM(D9:H9)+I9</f>
        <v/>
      </c>
      <c r="K9" s="3" t="n"/>
      <c r="L9" s="3" t="n"/>
      <c r="M9" s="3" t="n"/>
      <c r="N9" s="4">
        <f>SUM(K9:M9)</f>
        <v/>
      </c>
      <c r="O9" s="3" t="n"/>
      <c r="P9" s="3">
        <f>00_PARAMETROS!B5</f>
        <v/>
      </c>
      <c r="Q9" s="4">
        <f>C9+J9-N9</f>
        <v/>
      </c>
      <c r="R9" s="3" t="n"/>
      <c r="S9" s="3" t="n"/>
    </row>
    <row r="10" ht="20" customHeight="1">
      <c r="A10" s="4">
        <f>DATE(2025,10,4)</f>
        <v/>
      </c>
      <c r="B10" s="4" t="n">
        <v>4</v>
      </c>
      <c r="C10" s="4">
        <f>Q9</f>
        <v/>
      </c>
      <c r="D10" s="3" t="n"/>
      <c r="E10" s="3" t="n"/>
      <c r="F10" s="3" t="n"/>
      <c r="G10" s="3" t="n"/>
      <c r="H10" s="3" t="n"/>
      <c r="I10" s="3" t="n"/>
      <c r="J10" s="4">
        <f>SUM(D10:H10)+I10</f>
        <v/>
      </c>
      <c r="K10" s="3" t="n"/>
      <c r="L10" s="3" t="n"/>
      <c r="M10" s="3" t="n"/>
      <c r="N10" s="4">
        <f>SUM(K10:M10)</f>
        <v/>
      </c>
      <c r="O10" s="3" t="n"/>
      <c r="P10" s="3">
        <f>00_PARAMETROS!B5</f>
        <v/>
      </c>
      <c r="Q10" s="4">
        <f>C10+J10-N10</f>
        <v/>
      </c>
      <c r="R10" s="3" t="n"/>
      <c r="S10" s="3" t="n"/>
    </row>
    <row r="11" ht="20" customHeight="1">
      <c r="A11" s="4">
        <f>DATE(2025,10,5)</f>
        <v/>
      </c>
      <c r="B11" s="4" t="n">
        <v>5</v>
      </c>
      <c r="C11" s="4">
        <f>Q10</f>
        <v/>
      </c>
      <c r="D11" s="3" t="n"/>
      <c r="E11" s="3" t="n"/>
      <c r="F11" s="3" t="n"/>
      <c r="G11" s="3" t="n"/>
      <c r="H11" s="3" t="n"/>
      <c r="I11" s="3" t="n"/>
      <c r="J11" s="4">
        <f>SUM(D11:H11)+I11</f>
        <v/>
      </c>
      <c r="K11" s="3" t="n"/>
      <c r="L11" s="3" t="n"/>
      <c r="M11" s="3" t="n"/>
      <c r="N11" s="4">
        <f>SUM(K11:M11)</f>
        <v/>
      </c>
      <c r="O11" s="3" t="n"/>
      <c r="P11" s="3">
        <f>00_PARAMETROS!B5</f>
        <v/>
      </c>
      <c r="Q11" s="4">
        <f>C11+J11-N11</f>
        <v/>
      </c>
      <c r="R11" s="3" t="n"/>
      <c r="S11" s="3" t="n"/>
    </row>
    <row r="12" ht="20" customHeight="1">
      <c r="A12" s="4">
        <f>DATE(2025,10,6)</f>
        <v/>
      </c>
      <c r="B12" s="4" t="n">
        <v>6</v>
      </c>
      <c r="C12" s="4">
        <f>Q11</f>
        <v/>
      </c>
      <c r="D12" s="3" t="n"/>
      <c r="E12" s="3" t="n"/>
      <c r="F12" s="3" t="n"/>
      <c r="G12" s="3" t="n"/>
      <c r="H12" s="3" t="n"/>
      <c r="I12" s="3" t="n"/>
      <c r="J12" s="4">
        <f>SUM(D12:H12)+I12</f>
        <v/>
      </c>
      <c r="K12" s="3" t="n"/>
      <c r="L12" s="3" t="n"/>
      <c r="M12" s="3" t="n"/>
      <c r="N12" s="4">
        <f>SUM(K12:M12)</f>
        <v/>
      </c>
      <c r="O12" s="3" t="n"/>
      <c r="P12" s="3">
        <f>00_PARAMETROS!B5</f>
        <v/>
      </c>
      <c r="Q12" s="4">
        <f>C12+J12-N12</f>
        <v/>
      </c>
      <c r="R12" s="3" t="n"/>
      <c r="S12" s="3" t="n"/>
    </row>
    <row r="13" ht="20" customHeight="1">
      <c r="A13" s="4">
        <f>DATE(2025,10,7)</f>
        <v/>
      </c>
      <c r="B13" s="4" t="n">
        <v>7</v>
      </c>
      <c r="C13" s="4">
        <f>Q12</f>
        <v/>
      </c>
      <c r="D13" s="3" t="n"/>
      <c r="E13" s="3" t="n"/>
      <c r="F13" s="3" t="n"/>
      <c r="G13" s="3" t="n"/>
      <c r="H13" s="3" t="n"/>
      <c r="I13" s="3" t="n"/>
      <c r="J13" s="4">
        <f>SUM(D13:H13)+I13</f>
        <v/>
      </c>
      <c r="K13" s="3" t="n"/>
      <c r="L13" s="3" t="n"/>
      <c r="M13" s="3" t="n"/>
      <c r="N13" s="4">
        <f>SUM(K13:M13)</f>
        <v/>
      </c>
      <c r="O13" s="3" t="n"/>
      <c r="P13" s="3">
        <f>00_PARAMETROS!B5</f>
        <v/>
      </c>
      <c r="Q13" s="4">
        <f>C13+J13-N13</f>
        <v/>
      </c>
      <c r="R13" s="3" t="n"/>
      <c r="S13" s="3" t="n"/>
    </row>
    <row r="14" ht="20" customHeight="1">
      <c r="A14" s="4">
        <f>DATE(2025,10,8)</f>
        <v/>
      </c>
      <c r="B14" s="4" t="n">
        <v>8</v>
      </c>
      <c r="C14" s="4">
        <f>Q13</f>
        <v/>
      </c>
      <c r="D14" s="3" t="n"/>
      <c r="E14" s="3" t="n"/>
      <c r="F14" s="3" t="n"/>
      <c r="G14" s="3" t="n"/>
      <c r="H14" s="3" t="n"/>
      <c r="I14" s="3" t="n"/>
      <c r="J14" s="4">
        <f>SUM(D14:H14)+I14</f>
        <v/>
      </c>
      <c r="K14" s="3" t="n"/>
      <c r="L14" s="3" t="n"/>
      <c r="M14" s="3" t="n"/>
      <c r="N14" s="4">
        <f>SUM(K14:M14)</f>
        <v/>
      </c>
      <c r="O14" s="3" t="n"/>
      <c r="P14" s="3">
        <f>00_PARAMETROS!B5</f>
        <v/>
      </c>
      <c r="Q14" s="4">
        <f>C14+J14-N14</f>
        <v/>
      </c>
      <c r="R14" s="3" t="n"/>
      <c r="S14" s="3" t="n"/>
    </row>
    <row r="15" ht="20" customHeight="1">
      <c r="A15" s="4">
        <f>DATE(2025,10,9)</f>
        <v/>
      </c>
      <c r="B15" s="4" t="n">
        <v>9</v>
      </c>
      <c r="C15" s="4">
        <f>Q14</f>
        <v/>
      </c>
      <c r="D15" s="3" t="n"/>
      <c r="E15" s="3" t="n"/>
      <c r="F15" s="3" t="n"/>
      <c r="G15" s="3" t="n"/>
      <c r="H15" s="3" t="n"/>
      <c r="I15" s="3" t="n"/>
      <c r="J15" s="4">
        <f>SUM(D15:H15)+I15</f>
        <v/>
      </c>
      <c r="K15" s="3" t="n"/>
      <c r="L15" s="3" t="n"/>
      <c r="M15" s="3" t="n"/>
      <c r="N15" s="4">
        <f>SUM(K15:M15)</f>
        <v/>
      </c>
      <c r="O15" s="3" t="n"/>
      <c r="P15" s="3">
        <f>00_PARAMETROS!B5</f>
        <v/>
      </c>
      <c r="Q15" s="4">
        <f>C15+J15-N15</f>
        <v/>
      </c>
      <c r="R15" s="3" t="n"/>
      <c r="S15" s="3" t="n"/>
    </row>
    <row r="16" ht="20" customHeight="1">
      <c r="A16" s="4">
        <f>DATE(2025,10,10)</f>
        <v/>
      </c>
      <c r="B16" s="4" t="n">
        <v>10</v>
      </c>
      <c r="C16" s="4">
        <f>Q15</f>
        <v/>
      </c>
      <c r="D16" s="3" t="n"/>
      <c r="E16" s="3" t="n"/>
      <c r="F16" s="3" t="n"/>
      <c r="G16" s="3" t="n"/>
      <c r="H16" s="3" t="n"/>
      <c r="I16" s="3" t="n"/>
      <c r="J16" s="4">
        <f>SUM(D16:H16)+I16</f>
        <v/>
      </c>
      <c r="K16" s="3" t="n"/>
      <c r="L16" s="3" t="n"/>
      <c r="M16" s="3" t="n"/>
      <c r="N16" s="4">
        <f>SUM(K16:M16)</f>
        <v/>
      </c>
      <c r="O16" s="3" t="n"/>
      <c r="P16" s="3">
        <f>00_PARAMETROS!B5</f>
        <v/>
      </c>
      <c r="Q16" s="4">
        <f>C16+J16-N16</f>
        <v/>
      </c>
      <c r="R16" s="3" t="n"/>
      <c r="S16" s="3" t="n"/>
    </row>
    <row r="17" ht="20" customHeight="1">
      <c r="A17" s="4">
        <f>DATE(2025,10,11)</f>
        <v/>
      </c>
      <c r="B17" s="4" t="n">
        <v>11</v>
      </c>
      <c r="C17" s="4">
        <f>Q16</f>
        <v/>
      </c>
      <c r="D17" s="3" t="n"/>
      <c r="E17" s="3" t="n"/>
      <c r="F17" s="3" t="n"/>
      <c r="G17" s="3" t="n"/>
      <c r="H17" s="3" t="n"/>
      <c r="I17" s="3" t="n"/>
      <c r="J17" s="4">
        <f>SUM(D17:H17)+I17</f>
        <v/>
      </c>
      <c r="K17" s="3" t="n"/>
      <c r="L17" s="3" t="n"/>
      <c r="M17" s="3" t="n"/>
      <c r="N17" s="4">
        <f>SUM(K17:M17)</f>
        <v/>
      </c>
      <c r="O17" s="3" t="n"/>
      <c r="P17" s="3">
        <f>00_PARAMETROS!B5</f>
        <v/>
      </c>
      <c r="Q17" s="4">
        <f>C17+J17-N17</f>
        <v/>
      </c>
      <c r="R17" s="3" t="n"/>
      <c r="S17" s="3" t="n"/>
    </row>
    <row r="18" ht="20" customHeight="1">
      <c r="A18" s="4">
        <f>DATE(2025,10,12)</f>
        <v/>
      </c>
      <c r="B18" s="4" t="n">
        <v>12</v>
      </c>
      <c r="C18" s="4">
        <f>Q17</f>
        <v/>
      </c>
      <c r="D18" s="3" t="n"/>
      <c r="E18" s="3" t="n"/>
      <c r="F18" s="3" t="n"/>
      <c r="G18" s="3" t="n"/>
      <c r="H18" s="3" t="n"/>
      <c r="I18" s="3" t="n"/>
      <c r="J18" s="4">
        <f>SUM(D18:H18)+I18</f>
        <v/>
      </c>
      <c r="K18" s="3" t="n"/>
      <c r="L18" s="3" t="n"/>
      <c r="M18" s="3" t="n"/>
      <c r="N18" s="4">
        <f>SUM(K18:M18)</f>
        <v/>
      </c>
      <c r="O18" s="3" t="n"/>
      <c r="P18" s="3">
        <f>00_PARAMETROS!B5</f>
        <v/>
      </c>
      <c r="Q18" s="4">
        <f>C18+J18-N18</f>
        <v/>
      </c>
      <c r="R18" s="3" t="n"/>
      <c r="S18" s="3" t="n"/>
    </row>
    <row r="19" ht="20" customHeight="1">
      <c r="A19" s="4">
        <f>DATE(2025,10,13)</f>
        <v/>
      </c>
      <c r="B19" s="4" t="n">
        <v>13</v>
      </c>
      <c r="C19" s="4">
        <f>Q18</f>
        <v/>
      </c>
      <c r="D19" s="3" t="n"/>
      <c r="E19" s="3" t="n"/>
      <c r="F19" s="3" t="n"/>
      <c r="G19" s="3" t="n"/>
      <c r="H19" s="3" t="n"/>
      <c r="I19" s="3" t="n"/>
      <c r="J19" s="4">
        <f>SUM(D19:H19)+I19</f>
        <v/>
      </c>
      <c r="K19" s="3" t="n"/>
      <c r="L19" s="3" t="n"/>
      <c r="M19" s="3" t="n"/>
      <c r="N19" s="4">
        <f>SUM(K19:M19)</f>
        <v/>
      </c>
      <c r="O19" s="3" t="n"/>
      <c r="P19" s="3">
        <f>00_PARAMETROS!B5</f>
        <v/>
      </c>
      <c r="Q19" s="4">
        <f>C19+J19-N19</f>
        <v/>
      </c>
      <c r="R19" s="3" t="n"/>
      <c r="S19" s="3" t="n"/>
    </row>
    <row r="20" ht="20" customHeight="1">
      <c r="A20" s="4">
        <f>DATE(2025,10,14)</f>
        <v/>
      </c>
      <c r="B20" s="4" t="n">
        <v>14</v>
      </c>
      <c r="C20" s="4">
        <f>Q19</f>
        <v/>
      </c>
      <c r="D20" s="3" t="n"/>
      <c r="E20" s="3" t="n"/>
      <c r="F20" s="3" t="n"/>
      <c r="G20" s="3" t="n"/>
      <c r="H20" s="3" t="n"/>
      <c r="I20" s="3" t="n"/>
      <c r="J20" s="4">
        <f>SUM(D20:H20)+I20</f>
        <v/>
      </c>
      <c r="K20" s="3" t="n"/>
      <c r="L20" s="3" t="n"/>
      <c r="M20" s="3" t="n"/>
      <c r="N20" s="4">
        <f>SUM(K20:M20)</f>
        <v/>
      </c>
      <c r="O20" s="3" t="n"/>
      <c r="P20" s="3">
        <f>00_PARAMETROS!B5</f>
        <v/>
      </c>
      <c r="Q20" s="4">
        <f>C20+J20-N20</f>
        <v/>
      </c>
      <c r="R20" s="3" t="n"/>
      <c r="S20" s="3" t="n"/>
    </row>
    <row r="21" ht="20" customHeight="1">
      <c r="A21" s="4">
        <f>DATE(2025,10,15)</f>
        <v/>
      </c>
      <c r="B21" s="4" t="n">
        <v>15</v>
      </c>
      <c r="C21" s="4">
        <f>Q20</f>
        <v/>
      </c>
      <c r="D21" s="3" t="n"/>
      <c r="E21" s="3" t="n"/>
      <c r="F21" s="3" t="n"/>
      <c r="G21" s="3" t="n"/>
      <c r="H21" s="3" t="n"/>
      <c r="I21" s="3" t="n"/>
      <c r="J21" s="4">
        <f>SUM(D21:H21)+I21</f>
        <v/>
      </c>
      <c r="K21" s="3" t="n"/>
      <c r="L21" s="3" t="n"/>
      <c r="M21" s="3" t="n"/>
      <c r="N21" s="4">
        <f>SUM(K21:M21)</f>
        <v/>
      </c>
      <c r="O21" s="3" t="n"/>
      <c r="P21" s="3">
        <f>00_PARAMETROS!B5</f>
        <v/>
      </c>
      <c r="Q21" s="4">
        <f>C21+J21-N21</f>
        <v/>
      </c>
      <c r="R21" s="3" t="n"/>
      <c r="S21" s="3" t="n"/>
    </row>
    <row r="22" ht="20" customHeight="1">
      <c r="A22" s="4">
        <f>DATE(2025,10,16)</f>
        <v/>
      </c>
      <c r="B22" s="4" t="n">
        <v>16</v>
      </c>
      <c r="C22" s="4">
        <f>Q21</f>
        <v/>
      </c>
      <c r="D22" s="3" t="n"/>
      <c r="E22" s="3" t="n"/>
      <c r="F22" s="3" t="n"/>
      <c r="G22" s="3" t="n"/>
      <c r="H22" s="3" t="n"/>
      <c r="I22" s="3" t="n"/>
      <c r="J22" s="4">
        <f>SUM(D22:H22)+I22</f>
        <v/>
      </c>
      <c r="K22" s="3" t="n"/>
      <c r="L22" s="3" t="n"/>
      <c r="M22" s="3" t="n"/>
      <c r="N22" s="4">
        <f>SUM(K22:M22)</f>
        <v/>
      </c>
      <c r="O22" s="3" t="n"/>
      <c r="P22" s="3">
        <f>00_PARAMETROS!B5</f>
        <v/>
      </c>
      <c r="Q22" s="4">
        <f>C22+J22-N22</f>
        <v/>
      </c>
      <c r="R22" s="3" t="n"/>
      <c r="S22" s="3" t="n"/>
    </row>
    <row r="23" ht="20" customHeight="1">
      <c r="A23" s="4">
        <f>DATE(2025,10,17)</f>
        <v/>
      </c>
      <c r="B23" s="4" t="n">
        <v>17</v>
      </c>
      <c r="C23" s="4">
        <f>Q22</f>
        <v/>
      </c>
      <c r="D23" s="3" t="n"/>
      <c r="E23" s="3" t="n"/>
      <c r="F23" s="3" t="n"/>
      <c r="G23" s="3" t="n"/>
      <c r="H23" s="3" t="n"/>
      <c r="I23" s="3" t="n"/>
      <c r="J23" s="4">
        <f>SUM(D23:H23)+I23</f>
        <v/>
      </c>
      <c r="K23" s="3" t="n"/>
      <c r="L23" s="3" t="n"/>
      <c r="M23" s="3" t="n"/>
      <c r="N23" s="4">
        <f>SUM(K23:M23)</f>
        <v/>
      </c>
      <c r="O23" s="3" t="n"/>
      <c r="P23" s="3">
        <f>00_PARAMETROS!B5</f>
        <v/>
      </c>
      <c r="Q23" s="4">
        <f>C23+J23-N23</f>
        <v/>
      </c>
      <c r="R23" s="3" t="n"/>
      <c r="S23" s="3" t="n"/>
    </row>
    <row r="24" ht="20" customHeight="1">
      <c r="A24" s="4">
        <f>DATE(2025,10,18)</f>
        <v/>
      </c>
      <c r="B24" s="4" t="n">
        <v>18</v>
      </c>
      <c r="C24" s="4">
        <f>Q23</f>
        <v/>
      </c>
      <c r="D24" s="3" t="n"/>
      <c r="E24" s="3" t="n"/>
      <c r="F24" s="3" t="n"/>
      <c r="G24" s="3" t="n"/>
      <c r="H24" s="3" t="n"/>
      <c r="I24" s="3" t="n"/>
      <c r="J24" s="4">
        <f>SUM(D24:H24)+I24</f>
        <v/>
      </c>
      <c r="K24" s="3" t="n"/>
      <c r="L24" s="3" t="n"/>
      <c r="M24" s="3" t="n"/>
      <c r="N24" s="4">
        <f>SUM(K24:M24)</f>
        <v/>
      </c>
      <c r="O24" s="3" t="n"/>
      <c r="P24" s="3">
        <f>00_PARAMETROS!B5</f>
        <v/>
      </c>
      <c r="Q24" s="4">
        <f>C24+J24-N24</f>
        <v/>
      </c>
      <c r="R24" s="3" t="n"/>
      <c r="S24" s="3" t="n"/>
    </row>
    <row r="25" ht="20" customHeight="1">
      <c r="A25" s="4">
        <f>DATE(2025,10,19)</f>
        <v/>
      </c>
      <c r="B25" s="4" t="n">
        <v>19</v>
      </c>
      <c r="C25" s="4">
        <f>Q24</f>
        <v/>
      </c>
      <c r="D25" s="3" t="n"/>
      <c r="E25" s="3" t="n"/>
      <c r="F25" s="3" t="n"/>
      <c r="G25" s="3" t="n"/>
      <c r="H25" s="3" t="n"/>
      <c r="I25" s="3" t="n"/>
      <c r="J25" s="4">
        <f>SUM(D25:H25)+I25</f>
        <v/>
      </c>
      <c r="K25" s="3" t="n"/>
      <c r="L25" s="3" t="n"/>
      <c r="M25" s="3" t="n"/>
      <c r="N25" s="4">
        <f>SUM(K25:M25)</f>
        <v/>
      </c>
      <c r="O25" s="3" t="n"/>
      <c r="P25" s="3">
        <f>00_PARAMETROS!B5</f>
        <v/>
      </c>
      <c r="Q25" s="4">
        <f>C25+J25-N25</f>
        <v/>
      </c>
      <c r="R25" s="3" t="n"/>
      <c r="S25" s="3" t="n"/>
    </row>
    <row r="26" ht="20" customHeight="1">
      <c r="A26" s="4">
        <f>DATE(2025,10,20)</f>
        <v/>
      </c>
      <c r="B26" s="4" t="n">
        <v>20</v>
      </c>
      <c r="C26" s="4">
        <f>Q25</f>
        <v/>
      </c>
      <c r="D26" s="3" t="n"/>
      <c r="E26" s="3" t="n"/>
      <c r="F26" s="3" t="n"/>
      <c r="G26" s="3" t="n"/>
      <c r="H26" s="3" t="n"/>
      <c r="I26" s="3" t="n"/>
      <c r="J26" s="4">
        <f>SUM(D26:H26)+I26</f>
        <v/>
      </c>
      <c r="K26" s="3" t="n"/>
      <c r="L26" s="3" t="n"/>
      <c r="M26" s="3" t="n"/>
      <c r="N26" s="4">
        <f>SUM(K26:M26)</f>
        <v/>
      </c>
      <c r="O26" s="3" t="n"/>
      <c r="P26" s="3">
        <f>00_PARAMETROS!B5</f>
        <v/>
      </c>
      <c r="Q26" s="4">
        <f>C26+J26-N26</f>
        <v/>
      </c>
      <c r="R26" s="3" t="n"/>
      <c r="S26" s="3" t="n"/>
    </row>
    <row r="27" ht="20" customHeight="1">
      <c r="A27" s="4">
        <f>DATE(2025,10,21)</f>
        <v/>
      </c>
      <c r="B27" s="4" t="n">
        <v>21</v>
      </c>
      <c r="C27" s="4">
        <f>Q26</f>
        <v/>
      </c>
      <c r="D27" s="3" t="n"/>
      <c r="E27" s="3" t="n"/>
      <c r="F27" s="3" t="n"/>
      <c r="G27" s="3" t="n"/>
      <c r="H27" s="3" t="n"/>
      <c r="I27" s="3" t="n"/>
      <c r="J27" s="4">
        <f>SUM(D27:H27)+I27</f>
        <v/>
      </c>
      <c r="K27" s="3" t="n"/>
      <c r="L27" s="3" t="n"/>
      <c r="M27" s="3" t="n"/>
      <c r="N27" s="4">
        <f>SUM(K27:M27)</f>
        <v/>
      </c>
      <c r="O27" s="3" t="n"/>
      <c r="P27" s="3">
        <f>00_PARAMETROS!B5</f>
        <v/>
      </c>
      <c r="Q27" s="4">
        <f>C27+J27-N27</f>
        <v/>
      </c>
      <c r="R27" s="3" t="n"/>
      <c r="S27" s="3" t="n"/>
    </row>
    <row r="28" ht="20" customHeight="1">
      <c r="A28" s="4">
        <f>DATE(2025,10,22)</f>
        <v/>
      </c>
      <c r="B28" s="4" t="n">
        <v>22</v>
      </c>
      <c r="C28" s="4">
        <f>Q27</f>
        <v/>
      </c>
      <c r="D28" s="3" t="n"/>
      <c r="E28" s="3" t="n"/>
      <c r="F28" s="3" t="n"/>
      <c r="G28" s="3" t="n"/>
      <c r="H28" s="3" t="n"/>
      <c r="I28" s="3" t="n"/>
      <c r="J28" s="4">
        <f>SUM(D28:H28)+I28</f>
        <v/>
      </c>
      <c r="K28" s="3" t="n"/>
      <c r="L28" s="3" t="n"/>
      <c r="M28" s="3" t="n"/>
      <c r="N28" s="4">
        <f>SUM(K28:M28)</f>
        <v/>
      </c>
      <c r="O28" s="3" t="n"/>
      <c r="P28" s="3">
        <f>00_PARAMETROS!B5</f>
        <v/>
      </c>
      <c r="Q28" s="4">
        <f>C28+J28-N28</f>
        <v/>
      </c>
      <c r="R28" s="3" t="n"/>
      <c r="S28" s="3" t="n"/>
    </row>
    <row r="29" ht="20" customHeight="1">
      <c r="A29" s="4">
        <f>DATE(2025,10,23)</f>
        <v/>
      </c>
      <c r="B29" s="4" t="n">
        <v>23</v>
      </c>
      <c r="C29" s="4">
        <f>Q28</f>
        <v/>
      </c>
      <c r="D29" s="3" t="n"/>
      <c r="E29" s="3" t="n"/>
      <c r="F29" s="3" t="n"/>
      <c r="G29" s="3" t="n"/>
      <c r="H29" s="3" t="n"/>
      <c r="I29" s="3" t="n"/>
      <c r="J29" s="4">
        <f>SUM(D29:H29)+I29</f>
        <v/>
      </c>
      <c r="K29" s="3" t="n"/>
      <c r="L29" s="3" t="n"/>
      <c r="M29" s="3" t="n"/>
      <c r="N29" s="4">
        <f>SUM(K29:M29)</f>
        <v/>
      </c>
      <c r="O29" s="3" t="n"/>
      <c r="P29" s="3">
        <f>00_PARAMETROS!B5</f>
        <v/>
      </c>
      <c r="Q29" s="4">
        <f>C29+J29-N29</f>
        <v/>
      </c>
      <c r="R29" s="3" t="n"/>
      <c r="S29" s="3" t="n"/>
    </row>
    <row r="30" ht="20" customHeight="1">
      <c r="A30" s="4">
        <f>DATE(2025,10,24)</f>
        <v/>
      </c>
      <c r="B30" s="4" t="n">
        <v>24</v>
      </c>
      <c r="C30" s="4">
        <f>Q29</f>
        <v/>
      </c>
      <c r="D30" s="3" t="n"/>
      <c r="E30" s="3" t="n"/>
      <c r="F30" s="3" t="n"/>
      <c r="G30" s="3" t="n"/>
      <c r="H30" s="3" t="n"/>
      <c r="I30" s="3" t="n"/>
      <c r="J30" s="4">
        <f>SUM(D30:H30)+I30</f>
        <v/>
      </c>
      <c r="K30" s="3" t="n"/>
      <c r="L30" s="3" t="n"/>
      <c r="M30" s="3" t="n"/>
      <c r="N30" s="4">
        <f>SUM(K30:M30)</f>
        <v/>
      </c>
      <c r="O30" s="3" t="n"/>
      <c r="P30" s="3">
        <f>00_PARAMETROS!B5</f>
        <v/>
      </c>
      <c r="Q30" s="4">
        <f>C30+J30-N30</f>
        <v/>
      </c>
      <c r="R30" s="3" t="n"/>
      <c r="S30" s="3" t="n"/>
    </row>
    <row r="31" ht="20" customHeight="1">
      <c r="A31" s="4">
        <f>DATE(2025,10,25)</f>
        <v/>
      </c>
      <c r="B31" s="4" t="n">
        <v>25</v>
      </c>
      <c r="C31" s="4">
        <f>Q30</f>
        <v/>
      </c>
      <c r="D31" s="3" t="n"/>
      <c r="E31" s="3" t="n"/>
      <c r="F31" s="3" t="n"/>
      <c r="G31" s="3" t="n"/>
      <c r="H31" s="3" t="n"/>
      <c r="I31" s="3" t="n"/>
      <c r="J31" s="4">
        <f>SUM(D31:H31)+I31</f>
        <v/>
      </c>
      <c r="K31" s="3" t="n"/>
      <c r="L31" s="3" t="n"/>
      <c r="M31" s="3" t="n"/>
      <c r="N31" s="4">
        <f>SUM(K31:M31)</f>
        <v/>
      </c>
      <c r="O31" s="3" t="n"/>
      <c r="P31" s="3">
        <f>00_PARAMETROS!B5</f>
        <v/>
      </c>
      <c r="Q31" s="4">
        <f>C31+J31-N31</f>
        <v/>
      </c>
      <c r="R31" s="3" t="n"/>
      <c r="S31" s="3" t="n"/>
    </row>
    <row r="32" ht="20" customHeight="1">
      <c r="A32" s="4">
        <f>DATE(2025,10,26)</f>
        <v/>
      </c>
      <c r="B32" s="4" t="n">
        <v>26</v>
      </c>
      <c r="C32" s="4">
        <f>Q31</f>
        <v/>
      </c>
      <c r="D32" s="3" t="n"/>
      <c r="E32" s="3" t="n"/>
      <c r="F32" s="3" t="n"/>
      <c r="G32" s="3" t="n"/>
      <c r="H32" s="3" t="n"/>
      <c r="I32" s="3" t="n"/>
      <c r="J32" s="4">
        <f>SUM(D32:H32)+I32</f>
        <v/>
      </c>
      <c r="K32" s="3" t="n"/>
      <c r="L32" s="3" t="n"/>
      <c r="M32" s="3" t="n"/>
      <c r="N32" s="4">
        <f>SUM(K32:M32)</f>
        <v/>
      </c>
      <c r="O32" s="3" t="n"/>
      <c r="P32" s="3">
        <f>00_PARAMETROS!B5</f>
        <v/>
      </c>
      <c r="Q32" s="4">
        <f>C32+J32-N32</f>
        <v/>
      </c>
      <c r="R32" s="3" t="n"/>
      <c r="S32" s="3" t="n"/>
    </row>
    <row r="33" ht="20" customHeight="1">
      <c r="A33" s="4">
        <f>DATE(2025,10,27)</f>
        <v/>
      </c>
      <c r="B33" s="4" t="n">
        <v>27</v>
      </c>
      <c r="C33" s="4">
        <f>Q32</f>
        <v/>
      </c>
      <c r="D33" s="3" t="n"/>
      <c r="E33" s="3" t="n"/>
      <c r="F33" s="3" t="n"/>
      <c r="G33" s="3" t="n"/>
      <c r="H33" s="3" t="n"/>
      <c r="I33" s="3" t="n"/>
      <c r="J33" s="4">
        <f>SUM(D33:H33)+I33</f>
        <v/>
      </c>
      <c r="K33" s="3" t="n"/>
      <c r="L33" s="3" t="n"/>
      <c r="M33" s="3" t="n"/>
      <c r="N33" s="4">
        <f>SUM(K33:M33)</f>
        <v/>
      </c>
      <c r="O33" s="3" t="n"/>
      <c r="P33" s="3">
        <f>00_PARAMETROS!B5</f>
        <v/>
      </c>
      <c r="Q33" s="4">
        <f>C33+J33-N33</f>
        <v/>
      </c>
      <c r="R33" s="3" t="n"/>
      <c r="S33" s="3" t="n"/>
    </row>
    <row r="34" ht="20" customHeight="1">
      <c r="A34" s="4">
        <f>DATE(2025,10,28)</f>
        <v/>
      </c>
      <c r="B34" s="4" t="n">
        <v>28</v>
      </c>
      <c r="C34" s="4">
        <f>Q33</f>
        <v/>
      </c>
      <c r="D34" s="3" t="n"/>
      <c r="E34" s="3" t="n"/>
      <c r="F34" s="3" t="n"/>
      <c r="G34" s="3" t="n"/>
      <c r="H34" s="3" t="n"/>
      <c r="I34" s="3" t="n"/>
      <c r="J34" s="4">
        <f>SUM(D34:H34)+I34</f>
        <v/>
      </c>
      <c r="K34" s="3" t="n"/>
      <c r="L34" s="3" t="n"/>
      <c r="M34" s="3" t="n"/>
      <c r="N34" s="4">
        <f>SUM(K34:M34)</f>
        <v/>
      </c>
      <c r="O34" s="3" t="n"/>
      <c r="P34" s="3">
        <f>00_PARAMETROS!B5</f>
        <v/>
      </c>
      <c r="Q34" s="4">
        <f>C34+J34-N34</f>
        <v/>
      </c>
      <c r="R34" s="3" t="n"/>
      <c r="S34" s="3" t="n"/>
    </row>
    <row r="35" ht="20" customHeight="1">
      <c r="A35" s="4">
        <f>DATE(2025,10,29)</f>
        <v/>
      </c>
      <c r="B35" s="4" t="n">
        <v>29</v>
      </c>
      <c r="C35" s="4">
        <f>Q34</f>
        <v/>
      </c>
      <c r="D35" s="3" t="n"/>
      <c r="E35" s="3" t="n"/>
      <c r="F35" s="3" t="n"/>
      <c r="G35" s="3" t="n"/>
      <c r="H35" s="3" t="n"/>
      <c r="I35" s="3" t="n"/>
      <c r="J35" s="4">
        <f>SUM(D35:H35)+I35</f>
        <v/>
      </c>
      <c r="K35" s="3" t="n"/>
      <c r="L35" s="3" t="n"/>
      <c r="M35" s="3" t="n"/>
      <c r="N35" s="4">
        <f>SUM(K35:M35)</f>
        <v/>
      </c>
      <c r="O35" s="3" t="n"/>
      <c r="P35" s="3">
        <f>00_PARAMETROS!B5</f>
        <v/>
      </c>
      <c r="Q35" s="4">
        <f>C35+J35-N35</f>
        <v/>
      </c>
      <c r="R35" s="3" t="n"/>
      <c r="S35" s="3" t="n"/>
    </row>
    <row r="36" ht="20" customHeight="1">
      <c r="A36" s="4">
        <f>DATE(2025,10,30)</f>
        <v/>
      </c>
      <c r="B36" s="4" t="n">
        <v>30</v>
      </c>
      <c r="C36" s="4">
        <f>Q35</f>
        <v/>
      </c>
      <c r="D36" s="3" t="n"/>
      <c r="E36" s="3" t="n"/>
      <c r="F36" s="3" t="n"/>
      <c r="G36" s="3" t="n"/>
      <c r="H36" s="3" t="n"/>
      <c r="I36" s="3" t="n"/>
      <c r="J36" s="4">
        <f>SUM(D36:H36)+I36</f>
        <v/>
      </c>
      <c r="K36" s="3" t="n"/>
      <c r="L36" s="3" t="n"/>
      <c r="M36" s="3" t="n"/>
      <c r="N36" s="4">
        <f>SUM(K36:M36)</f>
        <v/>
      </c>
      <c r="O36" s="3" t="n"/>
      <c r="P36" s="3">
        <f>00_PARAMETROS!B5</f>
        <v/>
      </c>
      <c r="Q36" s="4">
        <f>C36+J36-N36</f>
        <v/>
      </c>
      <c r="R36" s="3" t="n"/>
      <c r="S36" s="3" t="n"/>
    </row>
    <row r="37" ht="20" customHeight="1">
      <c r="A37" s="4">
        <f>DATE(2025,10,31)</f>
        <v/>
      </c>
      <c r="B37" s="4" t="n">
        <v>31</v>
      </c>
      <c r="C37" s="4">
        <f>Q36</f>
        <v/>
      </c>
      <c r="D37" s="3" t="n"/>
      <c r="E37" s="3" t="n"/>
      <c r="F37" s="3" t="n"/>
      <c r="G37" s="3" t="n"/>
      <c r="H37" s="3" t="n"/>
      <c r="I37" s="3" t="n"/>
      <c r="J37" s="4">
        <f>SUM(D37:H37)+I37</f>
        <v/>
      </c>
      <c r="K37" s="3" t="n"/>
      <c r="L37" s="3" t="n"/>
      <c r="M37" s="3" t="n"/>
      <c r="N37" s="4">
        <f>SUM(K37:M37)</f>
        <v/>
      </c>
      <c r="O37" s="3" t="n"/>
      <c r="P37" s="3">
        <f>00_PARAMETROS!B5</f>
        <v/>
      </c>
      <c r="Q37" s="4">
        <f>C37+J37-N37</f>
        <v/>
      </c>
      <c r="R37" s="3" t="n"/>
      <c r="S37" s="3" t="n"/>
    </row>
    <row r="38" ht="20" customHeight="1">
      <c r="A38" s="2" t="inlineStr">
        <is>
          <t>TOTAL</t>
        </is>
      </c>
      <c r="B38" s="7" t="n"/>
      <c r="C38" s="7" t="n"/>
      <c r="D38" s="8">
        <f>SUM(D7:D37)</f>
        <v/>
      </c>
      <c r="E38" s="8">
        <f>SUM(E7:E37)</f>
        <v/>
      </c>
      <c r="F38" s="8">
        <f>SUM(F7:F37)</f>
        <v/>
      </c>
      <c r="G38" s="8">
        <f>SUM(G7:G37)</f>
        <v/>
      </c>
      <c r="H38" s="8">
        <f>SUM(H7:H37)</f>
        <v/>
      </c>
      <c r="I38" s="8">
        <f>SUM(I7:I37)</f>
        <v/>
      </c>
      <c r="J38" s="8">
        <f>SUM(J7:J37)</f>
        <v/>
      </c>
      <c r="K38" s="8">
        <f>SUM(K7:K37)</f>
        <v/>
      </c>
      <c r="L38" s="8">
        <f>SUM(L7:L37)</f>
        <v/>
      </c>
      <c r="M38" s="8">
        <f>SUM(M7:M37)</f>
        <v/>
      </c>
      <c r="N38" s="8">
        <f>SUM(N7:N37)</f>
        <v/>
      </c>
      <c r="O38" s="8">
        <f>SUM(O7:O37)</f>
        <v/>
      </c>
      <c r="P38" s="8">
        <f>SUM(P7:P37)</f>
        <v/>
      </c>
      <c r="Q38" s="8">
        <f>SUM(Q7:Q37)</f>
        <v/>
      </c>
      <c r="R38" s="8">
        <f>SUM(R7:R37)</f>
        <v/>
      </c>
      <c r="S38" s="8">
        <f>SUM(S7:S37)</f>
        <v/>
      </c>
    </row>
    <row r="39" ht="20" customHeight="1"/>
    <row r="40" ht="20" customHeight="1"/>
    <row r="41" ht="20" customHeight="1">
      <c r="A41" s="2" t="inlineStr">
        <is>
          <t>RESUMEN DEL MES</t>
        </is>
      </c>
      <c r="B41" s="9" t="n"/>
      <c r="C41" s="9" t="n"/>
      <c r="D41" s="10" t="n"/>
    </row>
    <row r="42" ht="20" customHeight="1">
      <c r="A42" s="11" t="inlineStr">
        <is>
          <t>Ingresos</t>
        </is>
      </c>
      <c r="B42" s="4">
        <f>J38</f>
        <v/>
      </c>
    </row>
    <row r="43" ht="20" customHeight="1">
      <c r="A43" s="11" t="inlineStr">
        <is>
          <t>Altas al hogar / otro hosp.</t>
        </is>
      </c>
      <c r="B43" s="4">
        <f>K38</f>
        <v/>
      </c>
    </row>
    <row r="44" ht="20" customHeight="1">
      <c r="A44" s="11" t="inlineStr">
        <is>
          <t>Traslados a otro servicio</t>
        </is>
      </c>
      <c r="B44" s="4">
        <f>L38</f>
        <v/>
      </c>
    </row>
    <row r="45" ht="20" customHeight="1">
      <c r="A45" s="11" t="inlineStr">
        <is>
          <t>Fallecidos</t>
        </is>
      </c>
      <c r="B45" s="4">
        <f>M38</f>
        <v/>
      </c>
    </row>
    <row r="46" ht="20" customHeight="1">
      <c r="A46" s="11" t="inlineStr">
        <is>
          <t>Total egresos</t>
        </is>
      </c>
      <c r="B46" s="4">
        <f>N38</f>
        <v/>
      </c>
    </row>
    <row r="47" ht="20" customHeight="1">
      <c r="A47" s="11" t="inlineStr">
        <is>
          <t>Pacientes atendidos del mes</t>
        </is>
      </c>
      <c r="B47" s="4">
        <f>C7+J38</f>
        <v/>
      </c>
    </row>
    <row r="48" ht="20" customHeight="1">
      <c r="A48" s="11" t="inlineStr">
        <is>
          <t>Dias personas atendidas</t>
        </is>
      </c>
      <c r="B48" s="4">
        <f>R38</f>
        <v/>
      </c>
    </row>
    <row r="49" ht="20" customHeight="1">
      <c r="A49" s="11" t="inlineStr">
        <is>
          <t>Indice ocupacional %</t>
        </is>
      </c>
      <c r="B49" s="12">
        <f>IFERROR(Q38/P38,"")</f>
        <v/>
      </c>
    </row>
    <row r="50" ht="20" customHeight="1">
      <c r="A50" s="11" t="inlineStr">
        <is>
          <t>Promedio dia de estada</t>
        </is>
      </c>
      <c r="B50" s="13">
        <f>IFERROR(R38/N38,"")</f>
        <v/>
      </c>
    </row>
  </sheetData>
  <sheetProtection selectLockedCells="1" selectUnlockedCells="1" sheet="1" objects="0" insertRows="1" insertHyperlinks="1" autoFilter="1" scenarios="0" formatColumns="1" deleteColumns="1" insertColumns="1" pivotTables="1" deleteRows="1" formatCells="1" formatRows="1" sort="1" password="C752"/>
  <mergeCells count="3">
    <mergeCell ref="U1:W1"/>
    <mergeCell ref="A41:D41"/>
    <mergeCell ref="A1:S1"/>
  </mergeCells>
  <dataValidations count="1">
    <dataValidation sqref="D7 D8 D9 D10 D11 D12 D13 D14 D15 D16 D17 D18 D19 D20 D21 D22 D23 D24 D25 D26 D27 D28 D29 D30 D31 D32 D33 D34 D35 D36 D37 E7 E8 E9 E10 E11 E12 E13 E14 E15 E16 E17 E18 E19 E20 E21 E22 E23 E24 E25 E26 E27 E28 E29 E30 E31 E32 E33 E34 E35 E36 E37 F7 F8 F9 F10 F11 F12 F13 F14 F15 F16 F17 F18 F19 F20 F21 F22 F23 F24 F25 F26 F27 F28 F29 F30 F31 F32 F33 F34 F35 F36 F37 G7 G8 G9 G10 G11 G12 G13 G14 G15 G16 G17 G18 G19 G20 G21 G22 G23 G24 G25 G26 G27 G28 G29 G30 G31 G32 G33 G34 G35 G36 G37 H7 H8 H9 H10 H11 H12 H13 H14 H15 H16 H17 H18 H19 H20 H21 H22 H23 H24 H25 H26 H27 H28 H29 H30 H31 H32 H33 H34 H35 H36 H37 I7 I8 I9 I10 I11 I12 I13 I14 I15 I16 I17 I18 I19 I20 I21 I22 I23 I24 I25 I26 I27 I28 I29 I30 I31 I32 I33 I34 I35 I36 I37 K7 K8 K9 K10 K11 K12 K13 K14 K15 K16 K17 K18 K19 K20 K21 K22 K23 K24 K25 K26 K27 K28 K29 K30 K31 K32 K33 K34 K35 K36 K37 L7 L8 L9 L10 L11 L12 L13 L14 L15 L16 L17 L18 L19 L20 L21 L22 L23 L24 L25 L26 L27 L28 L29 L30 L31 L32 L33 L34 L35 L36 L37 M7 M8 M9 M10 M11 M12 M13 M14 M15 M16 M17 M18 M19 M20 M21 M22 M23 M24 M25 M26 M27 M28 M29 M30 M31 M32 M33 M34 M35 M36 M37 O7 O8 O9 O10 O11 O12 O13 O14 O15 O16 O17 O18 O19 O20 O21 O22 O23 O24 O25 O26 O27 O28 O29 O30 O31 O32 O33 O34 O35 O36 O37 P7 P8 P9 P10 P11 P12 P13 P14 P15 P16 P17 P18 P19 P20 P21 P22 P23 P24 P25 P26 P27 P28 P29 P30 P31 P32 P33 P34 P35 P36 P37 R7 R8 R9 R10 R11 R12 R13 R14 R15 R16 R17 R18 R19 R20 R21 R22 R23 R24 R25 R26 R27 R28 R29 R30 R31 R32 R33 R34 R35 R36 R37 S7 S8 S9 S10 S11 S12 S13 S14 S15 S16 S17 S18 S19 S20 S21 S22 S23 S24 S25 S26 S27 S28 S29 S30 S31 S32 S33 S34 S35 S36 S37" showDropDown="0" showInputMessage="0" showErrorMessage="0" allowBlank="1" prompt="Ingresa un numero entero mayor o igual a 0." type="whole" operator="greaterThanOrEqual">
      <formula1>0</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W49"/>
  <sheetViews>
    <sheetView showGridLines="1" workbookViewId="0">
      <pane ySplit="6" topLeftCell="A7" activePane="bottomLeft" state="frozen"/>
      <selection pane="bottomLeft" activeCell="A1" sqref="A1"/>
    </sheetView>
  </sheetViews>
  <sheetFormatPr baseColWidth="8" defaultRowHeight="15"/>
  <cols>
    <col width="13" customWidth="1" min="1" max="1"/>
    <col width="7" customWidth="1" min="2" max="2"/>
    <col width="20" customWidth="1" min="3" max="3"/>
    <col width="13" customWidth="1" min="4" max="4"/>
    <col width="18" customWidth="1" min="5" max="5"/>
    <col width="15" customWidth="1" min="6" max="6"/>
    <col width="16" customWidth="1" min="7" max="7"/>
    <col width="10" customWidth="1" min="8" max="8"/>
    <col width="15" customWidth="1" min="9" max="9"/>
    <col width="13" customWidth="1" min="10" max="10"/>
    <col width="20" customWidth="1" min="11" max="11"/>
    <col width="22" customWidth="1" min="12" max="12"/>
    <col width="14" customWidth="1" min="13" max="13"/>
    <col width="13" customWidth="1" min="14" max="14"/>
    <col width="18" customWidth="1" min="15" max="15"/>
    <col width="18" customWidth="1" min="16" max="16"/>
    <col width="17" customWidth="1" min="17" max="17"/>
    <col width="16" customWidth="1" min="18" max="18"/>
    <col width="16" customWidth="1" min="19" max="19"/>
    <col width="34" customWidth="1" min="21" max="21"/>
    <col width="12" customWidth="1" min="22" max="22"/>
  </cols>
  <sheetData>
    <row r="1" ht="20" customHeight="1">
      <c r="A1" s="1" t="inlineStr">
        <is>
          <t>RESUMEN MENSUAL HODOM</t>
        </is>
      </c>
      <c r="U1" s="1" t="inlineStr">
        <is>
          <t>CONTROL</t>
        </is>
      </c>
    </row>
    <row r="2" ht="20" customHeight="1">
      <c r="A2" s="2" t="inlineStr">
        <is>
          <t>Servicio</t>
        </is>
      </c>
      <c r="B2" s="4">
        <f>00_PARAMETROS!B3</f>
        <v/>
      </c>
      <c r="C2" s="2" t="inlineStr">
        <is>
          <t>Codigo</t>
        </is>
      </c>
      <c r="D2" s="4">
        <f>00_PARAMETROS!B4</f>
        <v/>
      </c>
      <c r="E2" s="2" t="inlineStr">
        <is>
          <t>Mes</t>
        </is>
      </c>
      <c r="F2" s="3" t="inlineStr">
        <is>
          <t>NOVIEMBRE</t>
        </is>
      </c>
      <c r="G2" s="2" t="inlineStr">
        <is>
          <t>Ano</t>
        </is>
      </c>
      <c r="H2" s="3" t="n">
        <v>2025</v>
      </c>
    </row>
    <row r="3" ht="20" customHeight="1">
      <c r="A3" s="2" t="inlineStr">
        <is>
          <t>Camas base</t>
        </is>
      </c>
      <c r="B3" s="4">
        <f>00_PARAMETROS!B5</f>
        <v/>
      </c>
      <c r="C3" s="2" t="inlineStr">
        <is>
          <t>Promedio camas</t>
        </is>
      </c>
      <c r="D3" s="4">
        <f>AVERAGE(P7:P36)</f>
        <v/>
      </c>
      <c r="E3" s="2" t="inlineStr">
        <is>
          <t>Dias del mes</t>
        </is>
      </c>
      <c r="F3" s="3" t="n">
        <v>30</v>
      </c>
      <c r="U3" s="5" t="inlineStr">
        <is>
          <t>Dias con ocupacion negativa</t>
        </is>
      </c>
      <c r="V3" s="4">
        <f>COUNTIF(Q7:Q36,"&lt;0")</f>
        <v/>
      </c>
    </row>
    <row r="4" ht="20" customHeight="1">
      <c r="U4" s="5" t="inlineStr">
        <is>
          <t>Dias sin camas disponibles</t>
        </is>
      </c>
      <c r="V4" s="4">
        <f>COUNTBLANK(P7:P36)</f>
        <v/>
      </c>
    </row>
    <row r="5" ht="20" customHeight="1">
      <c r="U5" s="5" t="inlineStr">
        <is>
          <t>Primer dia sin existencia inicial</t>
        </is>
      </c>
      <c r="V5" s="4">
        <f>IF(C7="",1,0)</f>
        <v/>
      </c>
    </row>
    <row r="6" ht="36" customHeight="1">
      <c r="A6" s="6" t="inlineStr">
        <is>
          <t>Fecha</t>
        </is>
      </c>
      <c r="B6" s="6" t="inlineStr">
        <is>
          <t>Dia</t>
        </is>
      </c>
      <c r="C6" s="6" t="inlineStr">
        <is>
          <t>Existencia dia anterior</t>
        </is>
      </c>
      <c r="D6" s="6" t="inlineStr">
        <is>
          <t>Ing. urgencia</t>
        </is>
      </c>
      <c r="E6" s="6" t="inlineStr">
        <is>
          <t>Ing. hospitalizacion</t>
        </is>
      </c>
      <c r="F6" s="6" t="inlineStr">
        <is>
          <t>Ing. ambulatorio</t>
        </is>
      </c>
      <c r="G6" s="6" t="inlineStr">
        <is>
          <t>Ing. ley urgencia</t>
        </is>
      </c>
      <c r="H6" s="6" t="inlineStr">
        <is>
          <t>Ing. UGCC</t>
        </is>
      </c>
      <c r="I6" s="6" t="inlineStr">
        <is>
          <t>Ing. por traslado</t>
        </is>
      </c>
      <c r="J6" s="6" t="inlineStr">
        <is>
          <t>Total ingresos</t>
        </is>
      </c>
      <c r="K6" s="6" t="inlineStr">
        <is>
          <t>Egr. alta hogar / otro hosp.</t>
        </is>
      </c>
      <c r="L6" s="6" t="inlineStr">
        <is>
          <t>Egr. traslado a otro servicio</t>
        </is>
      </c>
      <c r="M6" s="6" t="inlineStr">
        <is>
          <t>Egr. fallecidos</t>
        </is>
      </c>
      <c r="N6" s="6" t="inlineStr">
        <is>
          <t>Total egresos</t>
        </is>
      </c>
      <c r="O6" s="6" t="inlineStr">
        <is>
          <t>Ingr.-egr. mismo dia</t>
        </is>
      </c>
      <c r="P6" s="6" t="inlineStr">
        <is>
          <t>Dias cama disponibles</t>
        </is>
      </c>
      <c r="Q6" s="6" t="inlineStr">
        <is>
          <t>Dias cama ocupadas</t>
        </is>
      </c>
      <c r="R6" s="6" t="inlineStr">
        <is>
          <t>Dias estada total</t>
        </is>
      </c>
      <c r="S6" s="6" t="inlineStr">
        <is>
          <t>Dias estada benef.</t>
        </is>
      </c>
      <c r="U6" s="5" t="inlineStr">
        <is>
          <t>Dias con total ingresos manualmente alterado</t>
        </is>
      </c>
      <c r="V6" s="4" t="inlineStr">
        <is>
          <t>0</t>
        </is>
      </c>
    </row>
    <row r="7" ht="20" customHeight="1">
      <c r="A7" s="4">
        <f>DATE(2025,11,1)</f>
        <v/>
      </c>
      <c r="B7" s="4" t="n">
        <v>1</v>
      </c>
      <c r="C7" s="3" t="n"/>
      <c r="D7" s="3" t="n"/>
      <c r="E7" s="3" t="n"/>
      <c r="F7" s="3" t="n"/>
      <c r="G7" s="3" t="n"/>
      <c r="H7" s="3" t="n"/>
      <c r="I7" s="3" t="n"/>
      <c r="J7" s="4">
        <f>SUM(D7:H7)+I7</f>
        <v/>
      </c>
      <c r="K7" s="3" t="n"/>
      <c r="L7" s="3" t="n"/>
      <c r="M7" s="3" t="n"/>
      <c r="N7" s="4">
        <f>SUM(K7:M7)</f>
        <v/>
      </c>
      <c r="O7" s="3" t="n"/>
      <c r="P7" s="3">
        <f>00_PARAMETROS!B5</f>
        <v/>
      </c>
      <c r="Q7" s="4">
        <f>C7+J7-N7</f>
        <v/>
      </c>
      <c r="R7" s="3" t="n"/>
      <c r="S7" s="3" t="n"/>
      <c r="U7" s="5" t="inlineStr">
        <is>
          <t>Dias con total egresos manualmente alterado</t>
        </is>
      </c>
      <c r="V7" s="4" t="inlineStr">
        <is>
          <t>0</t>
        </is>
      </c>
    </row>
    <row r="8" ht="20" customHeight="1">
      <c r="A8" s="4">
        <f>DATE(2025,11,2)</f>
        <v/>
      </c>
      <c r="B8" s="4" t="n">
        <v>2</v>
      </c>
      <c r="C8" s="4">
        <f>Q7</f>
        <v/>
      </c>
      <c r="D8" s="3" t="n"/>
      <c r="E8" s="3" t="n"/>
      <c r="F8" s="3" t="n"/>
      <c r="G8" s="3" t="n"/>
      <c r="H8" s="3" t="n"/>
      <c r="I8" s="3" t="n"/>
      <c r="J8" s="4">
        <f>SUM(D8:H8)+I8</f>
        <v/>
      </c>
      <c r="K8" s="3" t="n"/>
      <c r="L8" s="3" t="n"/>
      <c r="M8" s="3" t="n"/>
      <c r="N8" s="4">
        <f>SUM(K8:M8)</f>
        <v/>
      </c>
      <c r="O8" s="3" t="n"/>
      <c r="P8" s="3">
        <f>00_PARAMETROS!B5</f>
        <v/>
      </c>
      <c r="Q8" s="4">
        <f>C8+J8-N8</f>
        <v/>
      </c>
      <c r="R8" s="3" t="n"/>
      <c r="S8" s="3" t="n"/>
    </row>
    <row r="9" ht="20" customHeight="1">
      <c r="A9" s="4">
        <f>DATE(2025,11,3)</f>
        <v/>
      </c>
      <c r="B9" s="4" t="n">
        <v>3</v>
      </c>
      <c r="C9" s="4">
        <f>Q8</f>
        <v/>
      </c>
      <c r="D9" s="3" t="n"/>
      <c r="E9" s="3" t="n"/>
      <c r="F9" s="3" t="n"/>
      <c r="G9" s="3" t="n"/>
      <c r="H9" s="3" t="n"/>
      <c r="I9" s="3" t="n"/>
      <c r="J9" s="4">
        <f>SUM(D9:H9)+I9</f>
        <v/>
      </c>
      <c r="K9" s="3" t="n"/>
      <c r="L9" s="3" t="n"/>
      <c r="M9" s="3" t="n"/>
      <c r="N9" s="4">
        <f>SUM(K9:M9)</f>
        <v/>
      </c>
      <c r="O9" s="3" t="n"/>
      <c r="P9" s="3">
        <f>00_PARAMETROS!B5</f>
        <v/>
      </c>
      <c r="Q9" s="4">
        <f>C9+J9-N9</f>
        <v/>
      </c>
      <c r="R9" s="3" t="n"/>
      <c r="S9" s="3" t="n"/>
    </row>
    <row r="10" ht="20" customHeight="1">
      <c r="A10" s="4">
        <f>DATE(2025,11,4)</f>
        <v/>
      </c>
      <c r="B10" s="4" t="n">
        <v>4</v>
      </c>
      <c r="C10" s="4">
        <f>Q9</f>
        <v/>
      </c>
      <c r="D10" s="3" t="n"/>
      <c r="E10" s="3" t="n"/>
      <c r="F10" s="3" t="n"/>
      <c r="G10" s="3" t="n"/>
      <c r="H10" s="3" t="n"/>
      <c r="I10" s="3" t="n"/>
      <c r="J10" s="4">
        <f>SUM(D10:H10)+I10</f>
        <v/>
      </c>
      <c r="K10" s="3" t="n"/>
      <c r="L10" s="3" t="n"/>
      <c r="M10" s="3" t="n"/>
      <c r="N10" s="4">
        <f>SUM(K10:M10)</f>
        <v/>
      </c>
      <c r="O10" s="3" t="n"/>
      <c r="P10" s="3">
        <f>00_PARAMETROS!B5</f>
        <v/>
      </c>
      <c r="Q10" s="4">
        <f>C10+J10-N10</f>
        <v/>
      </c>
      <c r="R10" s="3" t="n"/>
      <c r="S10" s="3" t="n"/>
    </row>
    <row r="11" ht="20" customHeight="1">
      <c r="A11" s="4">
        <f>DATE(2025,11,5)</f>
        <v/>
      </c>
      <c r="B11" s="4" t="n">
        <v>5</v>
      </c>
      <c r="C11" s="4">
        <f>Q10</f>
        <v/>
      </c>
      <c r="D11" s="3" t="n"/>
      <c r="E11" s="3" t="n"/>
      <c r="F11" s="3" t="n"/>
      <c r="G11" s="3" t="n"/>
      <c r="H11" s="3" t="n"/>
      <c r="I11" s="3" t="n"/>
      <c r="J11" s="4">
        <f>SUM(D11:H11)+I11</f>
        <v/>
      </c>
      <c r="K11" s="3" t="n"/>
      <c r="L11" s="3" t="n"/>
      <c r="M11" s="3" t="n"/>
      <c r="N11" s="4">
        <f>SUM(K11:M11)</f>
        <v/>
      </c>
      <c r="O11" s="3" t="n"/>
      <c r="P11" s="3">
        <f>00_PARAMETROS!B5</f>
        <v/>
      </c>
      <c r="Q11" s="4">
        <f>C11+J11-N11</f>
        <v/>
      </c>
      <c r="R11" s="3" t="n"/>
      <c r="S11" s="3" t="n"/>
    </row>
    <row r="12" ht="20" customHeight="1">
      <c r="A12" s="4">
        <f>DATE(2025,11,6)</f>
        <v/>
      </c>
      <c r="B12" s="4" t="n">
        <v>6</v>
      </c>
      <c r="C12" s="4">
        <f>Q11</f>
        <v/>
      </c>
      <c r="D12" s="3" t="n"/>
      <c r="E12" s="3" t="n"/>
      <c r="F12" s="3" t="n"/>
      <c r="G12" s="3" t="n"/>
      <c r="H12" s="3" t="n"/>
      <c r="I12" s="3" t="n"/>
      <c r="J12" s="4">
        <f>SUM(D12:H12)+I12</f>
        <v/>
      </c>
      <c r="K12" s="3" t="n"/>
      <c r="L12" s="3" t="n"/>
      <c r="M12" s="3" t="n"/>
      <c r="N12" s="4">
        <f>SUM(K12:M12)</f>
        <v/>
      </c>
      <c r="O12" s="3" t="n"/>
      <c r="P12" s="3">
        <f>00_PARAMETROS!B5</f>
        <v/>
      </c>
      <c r="Q12" s="4">
        <f>C12+J12-N12</f>
        <v/>
      </c>
      <c r="R12" s="3" t="n"/>
      <c r="S12" s="3" t="n"/>
    </row>
    <row r="13" ht="20" customHeight="1">
      <c r="A13" s="4">
        <f>DATE(2025,11,7)</f>
        <v/>
      </c>
      <c r="B13" s="4" t="n">
        <v>7</v>
      </c>
      <c r="C13" s="4">
        <f>Q12</f>
        <v/>
      </c>
      <c r="D13" s="3" t="n"/>
      <c r="E13" s="3" t="n"/>
      <c r="F13" s="3" t="n"/>
      <c r="G13" s="3" t="n"/>
      <c r="H13" s="3" t="n"/>
      <c r="I13" s="3" t="n"/>
      <c r="J13" s="4">
        <f>SUM(D13:H13)+I13</f>
        <v/>
      </c>
      <c r="K13" s="3" t="n"/>
      <c r="L13" s="3" t="n"/>
      <c r="M13" s="3" t="n"/>
      <c r="N13" s="4">
        <f>SUM(K13:M13)</f>
        <v/>
      </c>
      <c r="O13" s="3" t="n"/>
      <c r="P13" s="3">
        <f>00_PARAMETROS!B5</f>
        <v/>
      </c>
      <c r="Q13" s="4">
        <f>C13+J13-N13</f>
        <v/>
      </c>
      <c r="R13" s="3" t="n"/>
      <c r="S13" s="3" t="n"/>
    </row>
    <row r="14" ht="20" customHeight="1">
      <c r="A14" s="4">
        <f>DATE(2025,11,8)</f>
        <v/>
      </c>
      <c r="B14" s="4" t="n">
        <v>8</v>
      </c>
      <c r="C14" s="4">
        <f>Q13</f>
        <v/>
      </c>
      <c r="D14" s="3" t="n"/>
      <c r="E14" s="3" t="n"/>
      <c r="F14" s="3" t="n"/>
      <c r="G14" s="3" t="n"/>
      <c r="H14" s="3" t="n"/>
      <c r="I14" s="3" t="n"/>
      <c r="J14" s="4">
        <f>SUM(D14:H14)+I14</f>
        <v/>
      </c>
      <c r="K14" s="3" t="n"/>
      <c r="L14" s="3" t="n"/>
      <c r="M14" s="3" t="n"/>
      <c r="N14" s="4">
        <f>SUM(K14:M14)</f>
        <v/>
      </c>
      <c r="O14" s="3" t="n"/>
      <c r="P14" s="3">
        <f>00_PARAMETROS!B5</f>
        <v/>
      </c>
      <c r="Q14" s="4">
        <f>C14+J14-N14</f>
        <v/>
      </c>
      <c r="R14" s="3" t="n"/>
      <c r="S14" s="3" t="n"/>
    </row>
    <row r="15" ht="20" customHeight="1">
      <c r="A15" s="4">
        <f>DATE(2025,11,9)</f>
        <v/>
      </c>
      <c r="B15" s="4" t="n">
        <v>9</v>
      </c>
      <c r="C15" s="4">
        <f>Q14</f>
        <v/>
      </c>
      <c r="D15" s="3" t="n"/>
      <c r="E15" s="3" t="n"/>
      <c r="F15" s="3" t="n"/>
      <c r="G15" s="3" t="n"/>
      <c r="H15" s="3" t="n"/>
      <c r="I15" s="3" t="n"/>
      <c r="J15" s="4">
        <f>SUM(D15:H15)+I15</f>
        <v/>
      </c>
      <c r="K15" s="3" t="n"/>
      <c r="L15" s="3" t="n"/>
      <c r="M15" s="3" t="n"/>
      <c r="N15" s="4">
        <f>SUM(K15:M15)</f>
        <v/>
      </c>
      <c r="O15" s="3" t="n"/>
      <c r="P15" s="3">
        <f>00_PARAMETROS!B5</f>
        <v/>
      </c>
      <c r="Q15" s="4">
        <f>C15+J15-N15</f>
        <v/>
      </c>
      <c r="R15" s="3" t="n"/>
      <c r="S15" s="3" t="n"/>
    </row>
    <row r="16" ht="20" customHeight="1">
      <c r="A16" s="4">
        <f>DATE(2025,11,10)</f>
        <v/>
      </c>
      <c r="B16" s="4" t="n">
        <v>10</v>
      </c>
      <c r="C16" s="4">
        <f>Q15</f>
        <v/>
      </c>
      <c r="D16" s="3" t="n"/>
      <c r="E16" s="3" t="n"/>
      <c r="F16" s="3" t="n"/>
      <c r="G16" s="3" t="n"/>
      <c r="H16" s="3" t="n"/>
      <c r="I16" s="3" t="n"/>
      <c r="J16" s="4">
        <f>SUM(D16:H16)+I16</f>
        <v/>
      </c>
      <c r="K16" s="3" t="n"/>
      <c r="L16" s="3" t="n"/>
      <c r="M16" s="3" t="n"/>
      <c r="N16" s="4">
        <f>SUM(K16:M16)</f>
        <v/>
      </c>
      <c r="O16" s="3" t="n"/>
      <c r="P16" s="3">
        <f>00_PARAMETROS!B5</f>
        <v/>
      </c>
      <c r="Q16" s="4">
        <f>C16+J16-N16</f>
        <v/>
      </c>
      <c r="R16" s="3" t="n"/>
      <c r="S16" s="3" t="n"/>
    </row>
    <row r="17" ht="20" customHeight="1">
      <c r="A17" s="4">
        <f>DATE(2025,11,11)</f>
        <v/>
      </c>
      <c r="B17" s="4" t="n">
        <v>11</v>
      </c>
      <c r="C17" s="4">
        <f>Q16</f>
        <v/>
      </c>
      <c r="D17" s="3" t="n"/>
      <c r="E17" s="3" t="n"/>
      <c r="F17" s="3" t="n"/>
      <c r="G17" s="3" t="n"/>
      <c r="H17" s="3" t="n"/>
      <c r="I17" s="3" t="n"/>
      <c r="J17" s="4">
        <f>SUM(D17:H17)+I17</f>
        <v/>
      </c>
      <c r="K17" s="3" t="n"/>
      <c r="L17" s="3" t="n"/>
      <c r="M17" s="3" t="n"/>
      <c r="N17" s="4">
        <f>SUM(K17:M17)</f>
        <v/>
      </c>
      <c r="O17" s="3" t="n"/>
      <c r="P17" s="3">
        <f>00_PARAMETROS!B5</f>
        <v/>
      </c>
      <c r="Q17" s="4">
        <f>C17+J17-N17</f>
        <v/>
      </c>
      <c r="R17" s="3" t="n"/>
      <c r="S17" s="3" t="n"/>
    </row>
    <row r="18" ht="20" customHeight="1">
      <c r="A18" s="4">
        <f>DATE(2025,11,12)</f>
        <v/>
      </c>
      <c r="B18" s="4" t="n">
        <v>12</v>
      </c>
      <c r="C18" s="4">
        <f>Q17</f>
        <v/>
      </c>
      <c r="D18" s="3" t="n"/>
      <c r="E18" s="3" t="n"/>
      <c r="F18" s="3" t="n"/>
      <c r="G18" s="3" t="n"/>
      <c r="H18" s="3" t="n"/>
      <c r="I18" s="3" t="n"/>
      <c r="J18" s="4">
        <f>SUM(D18:H18)+I18</f>
        <v/>
      </c>
      <c r="K18" s="3" t="n"/>
      <c r="L18" s="3" t="n"/>
      <c r="M18" s="3" t="n"/>
      <c r="N18" s="4">
        <f>SUM(K18:M18)</f>
        <v/>
      </c>
      <c r="O18" s="3" t="n"/>
      <c r="P18" s="3">
        <f>00_PARAMETROS!B5</f>
        <v/>
      </c>
      <c r="Q18" s="4">
        <f>C18+J18-N18</f>
        <v/>
      </c>
      <c r="R18" s="3" t="n"/>
      <c r="S18" s="3" t="n"/>
    </row>
    <row r="19" ht="20" customHeight="1">
      <c r="A19" s="4">
        <f>DATE(2025,11,13)</f>
        <v/>
      </c>
      <c r="B19" s="4" t="n">
        <v>13</v>
      </c>
      <c r="C19" s="4">
        <f>Q18</f>
        <v/>
      </c>
      <c r="D19" s="3" t="n"/>
      <c r="E19" s="3" t="n"/>
      <c r="F19" s="3" t="n"/>
      <c r="G19" s="3" t="n"/>
      <c r="H19" s="3" t="n"/>
      <c r="I19" s="3" t="n"/>
      <c r="J19" s="4">
        <f>SUM(D19:H19)+I19</f>
        <v/>
      </c>
      <c r="K19" s="3" t="n"/>
      <c r="L19" s="3" t="n"/>
      <c r="M19" s="3" t="n"/>
      <c r="N19" s="4">
        <f>SUM(K19:M19)</f>
        <v/>
      </c>
      <c r="O19" s="3" t="n"/>
      <c r="P19" s="3">
        <f>00_PARAMETROS!B5</f>
        <v/>
      </c>
      <c r="Q19" s="4">
        <f>C19+J19-N19</f>
        <v/>
      </c>
      <c r="R19" s="3" t="n"/>
      <c r="S19" s="3" t="n"/>
    </row>
    <row r="20" ht="20" customHeight="1">
      <c r="A20" s="4">
        <f>DATE(2025,11,14)</f>
        <v/>
      </c>
      <c r="B20" s="4" t="n">
        <v>14</v>
      </c>
      <c r="C20" s="4">
        <f>Q19</f>
        <v/>
      </c>
      <c r="D20" s="3" t="n"/>
      <c r="E20" s="3" t="n"/>
      <c r="F20" s="3" t="n"/>
      <c r="G20" s="3" t="n"/>
      <c r="H20" s="3" t="n"/>
      <c r="I20" s="3" t="n"/>
      <c r="J20" s="4">
        <f>SUM(D20:H20)+I20</f>
        <v/>
      </c>
      <c r="K20" s="3" t="n"/>
      <c r="L20" s="3" t="n"/>
      <c r="M20" s="3" t="n"/>
      <c r="N20" s="4">
        <f>SUM(K20:M20)</f>
        <v/>
      </c>
      <c r="O20" s="3" t="n"/>
      <c r="P20" s="3">
        <f>00_PARAMETROS!B5</f>
        <v/>
      </c>
      <c r="Q20" s="4">
        <f>C20+J20-N20</f>
        <v/>
      </c>
      <c r="R20" s="3" t="n"/>
      <c r="S20" s="3" t="n"/>
    </row>
    <row r="21" ht="20" customHeight="1">
      <c r="A21" s="4">
        <f>DATE(2025,11,15)</f>
        <v/>
      </c>
      <c r="B21" s="4" t="n">
        <v>15</v>
      </c>
      <c r="C21" s="4">
        <f>Q20</f>
        <v/>
      </c>
      <c r="D21" s="3" t="n"/>
      <c r="E21" s="3" t="n"/>
      <c r="F21" s="3" t="n"/>
      <c r="G21" s="3" t="n"/>
      <c r="H21" s="3" t="n"/>
      <c r="I21" s="3" t="n"/>
      <c r="J21" s="4">
        <f>SUM(D21:H21)+I21</f>
        <v/>
      </c>
      <c r="K21" s="3" t="n"/>
      <c r="L21" s="3" t="n"/>
      <c r="M21" s="3" t="n"/>
      <c r="N21" s="4">
        <f>SUM(K21:M21)</f>
        <v/>
      </c>
      <c r="O21" s="3" t="n"/>
      <c r="P21" s="3">
        <f>00_PARAMETROS!B5</f>
        <v/>
      </c>
      <c r="Q21" s="4">
        <f>C21+J21-N21</f>
        <v/>
      </c>
      <c r="R21" s="3" t="n"/>
      <c r="S21" s="3" t="n"/>
    </row>
    <row r="22" ht="20" customHeight="1">
      <c r="A22" s="4">
        <f>DATE(2025,11,16)</f>
        <v/>
      </c>
      <c r="B22" s="4" t="n">
        <v>16</v>
      </c>
      <c r="C22" s="4">
        <f>Q21</f>
        <v/>
      </c>
      <c r="D22" s="3" t="n"/>
      <c r="E22" s="3" t="n"/>
      <c r="F22" s="3" t="n"/>
      <c r="G22" s="3" t="n"/>
      <c r="H22" s="3" t="n"/>
      <c r="I22" s="3" t="n"/>
      <c r="J22" s="4">
        <f>SUM(D22:H22)+I22</f>
        <v/>
      </c>
      <c r="K22" s="3" t="n"/>
      <c r="L22" s="3" t="n"/>
      <c r="M22" s="3" t="n"/>
      <c r="N22" s="4">
        <f>SUM(K22:M22)</f>
        <v/>
      </c>
      <c r="O22" s="3" t="n"/>
      <c r="P22" s="3">
        <f>00_PARAMETROS!B5</f>
        <v/>
      </c>
      <c r="Q22" s="4">
        <f>C22+J22-N22</f>
        <v/>
      </c>
      <c r="R22" s="3" t="n"/>
      <c r="S22" s="3" t="n"/>
    </row>
    <row r="23" ht="20" customHeight="1">
      <c r="A23" s="4">
        <f>DATE(2025,11,17)</f>
        <v/>
      </c>
      <c r="B23" s="4" t="n">
        <v>17</v>
      </c>
      <c r="C23" s="4">
        <f>Q22</f>
        <v/>
      </c>
      <c r="D23" s="3" t="n"/>
      <c r="E23" s="3" t="n"/>
      <c r="F23" s="3" t="n"/>
      <c r="G23" s="3" t="n"/>
      <c r="H23" s="3" t="n"/>
      <c r="I23" s="3" t="n"/>
      <c r="J23" s="4">
        <f>SUM(D23:H23)+I23</f>
        <v/>
      </c>
      <c r="K23" s="3" t="n"/>
      <c r="L23" s="3" t="n"/>
      <c r="M23" s="3" t="n"/>
      <c r="N23" s="4">
        <f>SUM(K23:M23)</f>
        <v/>
      </c>
      <c r="O23" s="3" t="n"/>
      <c r="P23" s="3">
        <f>00_PARAMETROS!B5</f>
        <v/>
      </c>
      <c r="Q23" s="4">
        <f>C23+J23-N23</f>
        <v/>
      </c>
      <c r="R23" s="3" t="n"/>
      <c r="S23" s="3" t="n"/>
    </row>
    <row r="24" ht="20" customHeight="1">
      <c r="A24" s="4">
        <f>DATE(2025,11,18)</f>
        <v/>
      </c>
      <c r="B24" s="4" t="n">
        <v>18</v>
      </c>
      <c r="C24" s="4">
        <f>Q23</f>
        <v/>
      </c>
      <c r="D24" s="3" t="n"/>
      <c r="E24" s="3" t="n"/>
      <c r="F24" s="3" t="n"/>
      <c r="G24" s="3" t="n"/>
      <c r="H24" s="3" t="n"/>
      <c r="I24" s="3" t="n"/>
      <c r="J24" s="4">
        <f>SUM(D24:H24)+I24</f>
        <v/>
      </c>
      <c r="K24" s="3" t="n"/>
      <c r="L24" s="3" t="n"/>
      <c r="M24" s="3" t="n"/>
      <c r="N24" s="4">
        <f>SUM(K24:M24)</f>
        <v/>
      </c>
      <c r="O24" s="3" t="n"/>
      <c r="P24" s="3">
        <f>00_PARAMETROS!B5</f>
        <v/>
      </c>
      <c r="Q24" s="4">
        <f>C24+J24-N24</f>
        <v/>
      </c>
      <c r="R24" s="3" t="n"/>
      <c r="S24" s="3" t="n"/>
    </row>
    <row r="25" ht="20" customHeight="1">
      <c r="A25" s="4">
        <f>DATE(2025,11,19)</f>
        <v/>
      </c>
      <c r="B25" s="4" t="n">
        <v>19</v>
      </c>
      <c r="C25" s="4">
        <f>Q24</f>
        <v/>
      </c>
      <c r="D25" s="3" t="n"/>
      <c r="E25" s="3" t="n"/>
      <c r="F25" s="3" t="n"/>
      <c r="G25" s="3" t="n"/>
      <c r="H25" s="3" t="n"/>
      <c r="I25" s="3" t="n"/>
      <c r="J25" s="4">
        <f>SUM(D25:H25)+I25</f>
        <v/>
      </c>
      <c r="K25" s="3" t="n"/>
      <c r="L25" s="3" t="n"/>
      <c r="M25" s="3" t="n"/>
      <c r="N25" s="4">
        <f>SUM(K25:M25)</f>
        <v/>
      </c>
      <c r="O25" s="3" t="n"/>
      <c r="P25" s="3">
        <f>00_PARAMETROS!B5</f>
        <v/>
      </c>
      <c r="Q25" s="4">
        <f>C25+J25-N25</f>
        <v/>
      </c>
      <c r="R25" s="3" t="n"/>
      <c r="S25" s="3" t="n"/>
    </row>
    <row r="26" ht="20" customHeight="1">
      <c r="A26" s="4">
        <f>DATE(2025,11,20)</f>
        <v/>
      </c>
      <c r="B26" s="4" t="n">
        <v>20</v>
      </c>
      <c r="C26" s="4">
        <f>Q25</f>
        <v/>
      </c>
      <c r="D26" s="3" t="n"/>
      <c r="E26" s="3" t="n"/>
      <c r="F26" s="3" t="n"/>
      <c r="G26" s="3" t="n"/>
      <c r="H26" s="3" t="n"/>
      <c r="I26" s="3" t="n"/>
      <c r="J26" s="4">
        <f>SUM(D26:H26)+I26</f>
        <v/>
      </c>
      <c r="K26" s="3" t="n"/>
      <c r="L26" s="3" t="n"/>
      <c r="M26" s="3" t="n"/>
      <c r="N26" s="4">
        <f>SUM(K26:M26)</f>
        <v/>
      </c>
      <c r="O26" s="3" t="n"/>
      <c r="P26" s="3">
        <f>00_PARAMETROS!B5</f>
        <v/>
      </c>
      <c r="Q26" s="4">
        <f>C26+J26-N26</f>
        <v/>
      </c>
      <c r="R26" s="3" t="n"/>
      <c r="S26" s="3" t="n"/>
    </row>
    <row r="27" ht="20" customHeight="1">
      <c r="A27" s="4">
        <f>DATE(2025,11,21)</f>
        <v/>
      </c>
      <c r="B27" s="4" t="n">
        <v>21</v>
      </c>
      <c r="C27" s="4">
        <f>Q26</f>
        <v/>
      </c>
      <c r="D27" s="3" t="n"/>
      <c r="E27" s="3" t="n"/>
      <c r="F27" s="3" t="n"/>
      <c r="G27" s="3" t="n"/>
      <c r="H27" s="3" t="n"/>
      <c r="I27" s="3" t="n"/>
      <c r="J27" s="4">
        <f>SUM(D27:H27)+I27</f>
        <v/>
      </c>
      <c r="K27" s="3" t="n"/>
      <c r="L27" s="3" t="n"/>
      <c r="M27" s="3" t="n"/>
      <c r="N27" s="4">
        <f>SUM(K27:M27)</f>
        <v/>
      </c>
      <c r="O27" s="3" t="n"/>
      <c r="P27" s="3">
        <f>00_PARAMETROS!B5</f>
        <v/>
      </c>
      <c r="Q27" s="4">
        <f>C27+J27-N27</f>
        <v/>
      </c>
      <c r="R27" s="3" t="n"/>
      <c r="S27" s="3" t="n"/>
    </row>
    <row r="28" ht="20" customHeight="1">
      <c r="A28" s="4">
        <f>DATE(2025,11,22)</f>
        <v/>
      </c>
      <c r="B28" s="4" t="n">
        <v>22</v>
      </c>
      <c r="C28" s="4">
        <f>Q27</f>
        <v/>
      </c>
      <c r="D28" s="3" t="n"/>
      <c r="E28" s="3" t="n"/>
      <c r="F28" s="3" t="n"/>
      <c r="G28" s="3" t="n"/>
      <c r="H28" s="3" t="n"/>
      <c r="I28" s="3" t="n"/>
      <c r="J28" s="4">
        <f>SUM(D28:H28)+I28</f>
        <v/>
      </c>
      <c r="K28" s="3" t="n"/>
      <c r="L28" s="3" t="n"/>
      <c r="M28" s="3" t="n"/>
      <c r="N28" s="4">
        <f>SUM(K28:M28)</f>
        <v/>
      </c>
      <c r="O28" s="3" t="n"/>
      <c r="P28" s="3">
        <f>00_PARAMETROS!B5</f>
        <v/>
      </c>
      <c r="Q28" s="4">
        <f>C28+J28-N28</f>
        <v/>
      </c>
      <c r="R28" s="3" t="n"/>
      <c r="S28" s="3" t="n"/>
    </row>
    <row r="29" ht="20" customHeight="1">
      <c r="A29" s="4">
        <f>DATE(2025,11,23)</f>
        <v/>
      </c>
      <c r="B29" s="4" t="n">
        <v>23</v>
      </c>
      <c r="C29" s="4">
        <f>Q28</f>
        <v/>
      </c>
      <c r="D29" s="3" t="n"/>
      <c r="E29" s="3" t="n"/>
      <c r="F29" s="3" t="n"/>
      <c r="G29" s="3" t="n"/>
      <c r="H29" s="3" t="n"/>
      <c r="I29" s="3" t="n"/>
      <c r="J29" s="4">
        <f>SUM(D29:H29)+I29</f>
        <v/>
      </c>
      <c r="K29" s="3" t="n"/>
      <c r="L29" s="3" t="n"/>
      <c r="M29" s="3" t="n"/>
      <c r="N29" s="4">
        <f>SUM(K29:M29)</f>
        <v/>
      </c>
      <c r="O29" s="3" t="n"/>
      <c r="P29" s="3">
        <f>00_PARAMETROS!B5</f>
        <v/>
      </c>
      <c r="Q29" s="4">
        <f>C29+J29-N29</f>
        <v/>
      </c>
      <c r="R29" s="3" t="n"/>
      <c r="S29" s="3" t="n"/>
    </row>
    <row r="30" ht="20" customHeight="1">
      <c r="A30" s="4">
        <f>DATE(2025,11,24)</f>
        <v/>
      </c>
      <c r="B30" s="4" t="n">
        <v>24</v>
      </c>
      <c r="C30" s="4">
        <f>Q29</f>
        <v/>
      </c>
      <c r="D30" s="3" t="n"/>
      <c r="E30" s="3" t="n"/>
      <c r="F30" s="3" t="n"/>
      <c r="G30" s="3" t="n"/>
      <c r="H30" s="3" t="n"/>
      <c r="I30" s="3" t="n"/>
      <c r="J30" s="4">
        <f>SUM(D30:H30)+I30</f>
        <v/>
      </c>
      <c r="K30" s="3" t="n"/>
      <c r="L30" s="3" t="n"/>
      <c r="M30" s="3" t="n"/>
      <c r="N30" s="4">
        <f>SUM(K30:M30)</f>
        <v/>
      </c>
      <c r="O30" s="3" t="n"/>
      <c r="P30" s="3">
        <f>00_PARAMETROS!B5</f>
        <v/>
      </c>
      <c r="Q30" s="4">
        <f>C30+J30-N30</f>
        <v/>
      </c>
      <c r="R30" s="3" t="n"/>
      <c r="S30" s="3" t="n"/>
    </row>
    <row r="31" ht="20" customHeight="1">
      <c r="A31" s="4">
        <f>DATE(2025,11,25)</f>
        <v/>
      </c>
      <c r="B31" s="4" t="n">
        <v>25</v>
      </c>
      <c r="C31" s="4">
        <f>Q30</f>
        <v/>
      </c>
      <c r="D31" s="3" t="n"/>
      <c r="E31" s="3" t="n"/>
      <c r="F31" s="3" t="n"/>
      <c r="G31" s="3" t="n"/>
      <c r="H31" s="3" t="n"/>
      <c r="I31" s="3" t="n"/>
      <c r="J31" s="4">
        <f>SUM(D31:H31)+I31</f>
        <v/>
      </c>
      <c r="K31" s="3" t="n"/>
      <c r="L31" s="3" t="n"/>
      <c r="M31" s="3" t="n"/>
      <c r="N31" s="4">
        <f>SUM(K31:M31)</f>
        <v/>
      </c>
      <c r="O31" s="3" t="n"/>
      <c r="P31" s="3">
        <f>00_PARAMETROS!B5</f>
        <v/>
      </c>
      <c r="Q31" s="4">
        <f>C31+J31-N31</f>
        <v/>
      </c>
      <c r="R31" s="3" t="n"/>
      <c r="S31" s="3" t="n"/>
    </row>
    <row r="32" ht="20" customHeight="1">
      <c r="A32" s="4">
        <f>DATE(2025,11,26)</f>
        <v/>
      </c>
      <c r="B32" s="4" t="n">
        <v>26</v>
      </c>
      <c r="C32" s="4">
        <f>Q31</f>
        <v/>
      </c>
      <c r="D32" s="3" t="n"/>
      <c r="E32" s="3" t="n"/>
      <c r="F32" s="3" t="n"/>
      <c r="G32" s="3" t="n"/>
      <c r="H32" s="3" t="n"/>
      <c r="I32" s="3" t="n"/>
      <c r="J32" s="4">
        <f>SUM(D32:H32)+I32</f>
        <v/>
      </c>
      <c r="K32" s="3" t="n"/>
      <c r="L32" s="3" t="n"/>
      <c r="M32" s="3" t="n"/>
      <c r="N32" s="4">
        <f>SUM(K32:M32)</f>
        <v/>
      </c>
      <c r="O32" s="3" t="n"/>
      <c r="P32" s="3">
        <f>00_PARAMETROS!B5</f>
        <v/>
      </c>
      <c r="Q32" s="4">
        <f>C32+J32-N32</f>
        <v/>
      </c>
      <c r="R32" s="3" t="n"/>
      <c r="S32" s="3" t="n"/>
    </row>
    <row r="33" ht="20" customHeight="1">
      <c r="A33" s="4">
        <f>DATE(2025,11,27)</f>
        <v/>
      </c>
      <c r="B33" s="4" t="n">
        <v>27</v>
      </c>
      <c r="C33" s="4">
        <f>Q32</f>
        <v/>
      </c>
      <c r="D33" s="3" t="n"/>
      <c r="E33" s="3" t="n"/>
      <c r="F33" s="3" t="n"/>
      <c r="G33" s="3" t="n"/>
      <c r="H33" s="3" t="n"/>
      <c r="I33" s="3" t="n"/>
      <c r="J33" s="4">
        <f>SUM(D33:H33)+I33</f>
        <v/>
      </c>
      <c r="K33" s="3" t="n"/>
      <c r="L33" s="3" t="n"/>
      <c r="M33" s="3" t="n"/>
      <c r="N33" s="4">
        <f>SUM(K33:M33)</f>
        <v/>
      </c>
      <c r="O33" s="3" t="n"/>
      <c r="P33" s="3">
        <f>00_PARAMETROS!B5</f>
        <v/>
      </c>
      <c r="Q33" s="4">
        <f>C33+J33-N33</f>
        <v/>
      </c>
      <c r="R33" s="3" t="n"/>
      <c r="S33" s="3" t="n"/>
    </row>
    <row r="34" ht="20" customHeight="1">
      <c r="A34" s="4">
        <f>DATE(2025,11,28)</f>
        <v/>
      </c>
      <c r="B34" s="4" t="n">
        <v>28</v>
      </c>
      <c r="C34" s="4">
        <f>Q33</f>
        <v/>
      </c>
      <c r="D34" s="3" t="n"/>
      <c r="E34" s="3" t="n"/>
      <c r="F34" s="3" t="n"/>
      <c r="G34" s="3" t="n"/>
      <c r="H34" s="3" t="n"/>
      <c r="I34" s="3" t="n"/>
      <c r="J34" s="4">
        <f>SUM(D34:H34)+I34</f>
        <v/>
      </c>
      <c r="K34" s="3" t="n"/>
      <c r="L34" s="3" t="n"/>
      <c r="M34" s="3" t="n"/>
      <c r="N34" s="4">
        <f>SUM(K34:M34)</f>
        <v/>
      </c>
      <c r="O34" s="3" t="n"/>
      <c r="P34" s="3">
        <f>00_PARAMETROS!B5</f>
        <v/>
      </c>
      <c r="Q34" s="4">
        <f>C34+J34-N34</f>
        <v/>
      </c>
      <c r="R34" s="3" t="n"/>
      <c r="S34" s="3" t="n"/>
    </row>
    <row r="35" ht="20" customHeight="1">
      <c r="A35" s="4">
        <f>DATE(2025,11,29)</f>
        <v/>
      </c>
      <c r="B35" s="4" t="n">
        <v>29</v>
      </c>
      <c r="C35" s="4">
        <f>Q34</f>
        <v/>
      </c>
      <c r="D35" s="3" t="n"/>
      <c r="E35" s="3" t="n"/>
      <c r="F35" s="3" t="n"/>
      <c r="G35" s="3" t="n"/>
      <c r="H35" s="3" t="n"/>
      <c r="I35" s="3" t="n"/>
      <c r="J35" s="4">
        <f>SUM(D35:H35)+I35</f>
        <v/>
      </c>
      <c r="K35" s="3" t="n"/>
      <c r="L35" s="3" t="n"/>
      <c r="M35" s="3" t="n"/>
      <c r="N35" s="4">
        <f>SUM(K35:M35)</f>
        <v/>
      </c>
      <c r="O35" s="3" t="n"/>
      <c r="P35" s="3">
        <f>00_PARAMETROS!B5</f>
        <v/>
      </c>
      <c r="Q35" s="4">
        <f>C35+J35-N35</f>
        <v/>
      </c>
      <c r="R35" s="3" t="n"/>
      <c r="S35" s="3" t="n"/>
    </row>
    <row r="36" ht="20" customHeight="1">
      <c r="A36" s="4">
        <f>DATE(2025,11,30)</f>
        <v/>
      </c>
      <c r="B36" s="4" t="n">
        <v>30</v>
      </c>
      <c r="C36" s="4">
        <f>Q35</f>
        <v/>
      </c>
      <c r="D36" s="3" t="n"/>
      <c r="E36" s="3" t="n"/>
      <c r="F36" s="3" t="n"/>
      <c r="G36" s="3" t="n"/>
      <c r="H36" s="3" t="n"/>
      <c r="I36" s="3" t="n"/>
      <c r="J36" s="4">
        <f>SUM(D36:H36)+I36</f>
        <v/>
      </c>
      <c r="K36" s="3" t="n"/>
      <c r="L36" s="3" t="n"/>
      <c r="M36" s="3" t="n"/>
      <c r="N36" s="4">
        <f>SUM(K36:M36)</f>
        <v/>
      </c>
      <c r="O36" s="3" t="n"/>
      <c r="P36" s="3">
        <f>00_PARAMETROS!B5</f>
        <v/>
      </c>
      <c r="Q36" s="4">
        <f>C36+J36-N36</f>
        <v/>
      </c>
      <c r="R36" s="3" t="n"/>
      <c r="S36" s="3" t="n"/>
    </row>
    <row r="37" ht="20" customHeight="1">
      <c r="A37" s="2" t="inlineStr">
        <is>
          <t>TOTAL</t>
        </is>
      </c>
      <c r="B37" s="7" t="n"/>
      <c r="C37" s="7" t="n"/>
      <c r="D37" s="8">
        <f>SUM(D7:D36)</f>
        <v/>
      </c>
      <c r="E37" s="8">
        <f>SUM(E7:E36)</f>
        <v/>
      </c>
      <c r="F37" s="8">
        <f>SUM(F7:F36)</f>
        <v/>
      </c>
      <c r="G37" s="8">
        <f>SUM(G7:G36)</f>
        <v/>
      </c>
      <c r="H37" s="8">
        <f>SUM(H7:H36)</f>
        <v/>
      </c>
      <c r="I37" s="8">
        <f>SUM(I7:I36)</f>
        <v/>
      </c>
      <c r="J37" s="8">
        <f>SUM(J7:J36)</f>
        <v/>
      </c>
      <c r="K37" s="8">
        <f>SUM(K7:K36)</f>
        <v/>
      </c>
      <c r="L37" s="8">
        <f>SUM(L7:L36)</f>
        <v/>
      </c>
      <c r="M37" s="8">
        <f>SUM(M7:M36)</f>
        <v/>
      </c>
      <c r="N37" s="8">
        <f>SUM(N7:N36)</f>
        <v/>
      </c>
      <c r="O37" s="8">
        <f>SUM(O7:O36)</f>
        <v/>
      </c>
      <c r="P37" s="8">
        <f>SUM(P7:P36)</f>
        <v/>
      </c>
      <c r="Q37" s="8">
        <f>SUM(Q7:Q36)</f>
        <v/>
      </c>
      <c r="R37" s="8">
        <f>SUM(R7:R36)</f>
        <v/>
      </c>
      <c r="S37" s="8">
        <f>SUM(S7:S36)</f>
        <v/>
      </c>
    </row>
    <row r="38" ht="20" customHeight="1"/>
    <row r="39" ht="20" customHeight="1"/>
    <row r="40" ht="20" customHeight="1">
      <c r="A40" s="2" t="inlineStr">
        <is>
          <t>RESUMEN DEL MES</t>
        </is>
      </c>
      <c r="B40" s="9" t="n"/>
      <c r="C40" s="9" t="n"/>
      <c r="D40" s="10" t="n"/>
    </row>
    <row r="41" ht="20" customHeight="1">
      <c r="A41" s="11" t="inlineStr">
        <is>
          <t>Ingresos</t>
        </is>
      </c>
      <c r="B41" s="4">
        <f>J37</f>
        <v/>
      </c>
    </row>
    <row r="42" ht="20" customHeight="1">
      <c r="A42" s="11" t="inlineStr">
        <is>
          <t>Altas al hogar / otro hosp.</t>
        </is>
      </c>
      <c r="B42" s="4">
        <f>K37</f>
        <v/>
      </c>
    </row>
    <row r="43" ht="20" customHeight="1">
      <c r="A43" s="11" t="inlineStr">
        <is>
          <t>Traslados a otro servicio</t>
        </is>
      </c>
      <c r="B43" s="4">
        <f>L37</f>
        <v/>
      </c>
    </row>
    <row r="44" ht="20" customHeight="1">
      <c r="A44" s="11" t="inlineStr">
        <is>
          <t>Fallecidos</t>
        </is>
      </c>
      <c r="B44" s="4">
        <f>M37</f>
        <v/>
      </c>
    </row>
    <row r="45" ht="20" customHeight="1">
      <c r="A45" s="11" t="inlineStr">
        <is>
          <t>Total egresos</t>
        </is>
      </c>
      <c r="B45" s="4">
        <f>N37</f>
        <v/>
      </c>
    </row>
    <row r="46" ht="20" customHeight="1">
      <c r="A46" s="11" t="inlineStr">
        <is>
          <t>Pacientes atendidos del mes</t>
        </is>
      </c>
      <c r="B46" s="4">
        <f>C7+J37</f>
        <v/>
      </c>
    </row>
    <row r="47" ht="20" customHeight="1">
      <c r="A47" s="11" t="inlineStr">
        <is>
          <t>Dias personas atendidas</t>
        </is>
      </c>
      <c r="B47" s="4">
        <f>R37</f>
        <v/>
      </c>
    </row>
    <row r="48" ht="20" customHeight="1">
      <c r="A48" s="11" t="inlineStr">
        <is>
          <t>Indice ocupacional %</t>
        </is>
      </c>
      <c r="B48" s="12">
        <f>IFERROR(Q37/P37,"")</f>
        <v/>
      </c>
    </row>
    <row r="49" ht="20" customHeight="1">
      <c r="A49" s="11" t="inlineStr">
        <is>
          <t>Promedio dia de estada</t>
        </is>
      </c>
      <c r="B49" s="13">
        <f>IFERROR(R37/N37,"")</f>
        <v/>
      </c>
    </row>
  </sheetData>
  <sheetProtection selectLockedCells="1" selectUnlockedCells="1" sheet="1" objects="0" insertRows="1" insertHyperlinks="1" autoFilter="1" scenarios="0" formatColumns="1" deleteColumns="1" insertColumns="1" pivotTables="1" deleteRows="1" formatCells="1" formatRows="1" sort="1" password="C752"/>
  <mergeCells count="3">
    <mergeCell ref="U1:W1"/>
    <mergeCell ref="A40:D40"/>
    <mergeCell ref="A1:S1"/>
  </mergeCells>
  <dataValidations count="1">
    <dataValidation sqref="D7 D8 D9 D10 D11 D12 D13 D14 D15 D16 D17 D18 D19 D20 D21 D22 D23 D24 D25 D26 D27 D28 D29 D30 D31 D32 D33 D34 D35 D36 E7 E8 E9 E10 E11 E12 E13 E14 E15 E16 E17 E18 E19 E20 E21 E22 E23 E24 E25 E26 E27 E28 E29 E30 E31 E32 E33 E34 E35 E36 F7 F8 F9 F10 F11 F12 F13 F14 F15 F16 F17 F18 F19 F20 F21 F22 F23 F24 F25 F26 F27 F28 F29 F30 F31 F32 F33 F34 F35 F36 G7 G8 G9 G10 G11 G12 G13 G14 G15 G16 G17 G18 G19 G20 G21 G22 G23 G24 G25 G26 G27 G28 G29 G30 G31 G32 G33 G34 G35 G36 H7 H8 H9 H10 H11 H12 H13 H14 H15 H16 H17 H18 H19 H20 H21 H22 H23 H24 H25 H26 H27 H28 H29 H30 H31 H32 H33 H34 H35 H36 I7 I8 I9 I10 I11 I12 I13 I14 I15 I16 I17 I18 I19 I20 I21 I22 I23 I24 I25 I26 I27 I28 I29 I30 I31 I32 I33 I34 I35 I36 K7 K8 K9 K10 K11 K12 K13 K14 K15 K16 K17 K18 K19 K20 K21 K22 K23 K24 K25 K26 K27 K28 K29 K30 K31 K32 K33 K34 K35 K36 L7 L8 L9 L10 L11 L12 L13 L14 L15 L16 L17 L18 L19 L20 L21 L22 L23 L24 L25 L26 L27 L28 L29 L30 L31 L32 L33 L34 L35 L36 M7 M8 M9 M10 M11 M12 M13 M14 M15 M16 M17 M18 M19 M20 M21 M22 M23 M24 M25 M26 M27 M28 M29 M30 M31 M32 M33 M34 M35 M36 O7 O8 O9 O10 O11 O12 O13 O14 O15 O16 O17 O18 O19 O20 O21 O22 O23 O24 O25 O26 O27 O28 O29 O30 O31 O32 O33 O34 O35 O36 P7 P8 P9 P10 P11 P12 P13 P14 P15 P16 P17 P18 P19 P20 P21 P22 P23 P24 P25 P26 P27 P28 P29 P30 P31 P32 P33 P34 P35 P36 R7 R8 R9 R10 R11 R12 R13 R14 R15 R16 R17 R18 R19 R20 R21 R22 R23 R24 R25 R26 R27 R28 R29 R30 R31 R32 R33 R34 R35 R36 S7 S8 S9 S10 S11 S12 S13 S14 S15 S16 S17 S18 S19 S20 S21 S22 S23 S24 S25 S26 S27 S28 S29 S30 S31 S32 S33 S34 S35 S36" showDropDown="0" showInputMessage="0" showErrorMessage="0" allowBlank="1" prompt="Ingresa un numero entero mayor o igual a 0." type="whole" operator="greaterThanOrEqual">
      <formula1>0</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W50"/>
  <sheetViews>
    <sheetView showGridLines="1" workbookViewId="0">
      <pane ySplit="6" topLeftCell="A7" activePane="bottomLeft" state="frozen"/>
      <selection pane="bottomLeft" activeCell="A1" sqref="A1"/>
    </sheetView>
  </sheetViews>
  <sheetFormatPr baseColWidth="8" defaultRowHeight="15"/>
  <cols>
    <col width="13" customWidth="1" min="1" max="1"/>
    <col width="7" customWidth="1" min="2" max="2"/>
    <col width="20" customWidth="1" min="3" max="3"/>
    <col width="13" customWidth="1" min="4" max="4"/>
    <col width="18" customWidth="1" min="5" max="5"/>
    <col width="15" customWidth="1" min="6" max="6"/>
    <col width="16" customWidth="1" min="7" max="7"/>
    <col width="10" customWidth="1" min="8" max="8"/>
    <col width="15" customWidth="1" min="9" max="9"/>
    <col width="13" customWidth="1" min="10" max="10"/>
    <col width="20" customWidth="1" min="11" max="11"/>
    <col width="22" customWidth="1" min="12" max="12"/>
    <col width="14" customWidth="1" min="13" max="13"/>
    <col width="13" customWidth="1" min="14" max="14"/>
    <col width="18" customWidth="1" min="15" max="15"/>
    <col width="18" customWidth="1" min="16" max="16"/>
    <col width="17" customWidth="1" min="17" max="17"/>
    <col width="16" customWidth="1" min="18" max="18"/>
    <col width="16" customWidth="1" min="19" max="19"/>
    <col width="34" customWidth="1" min="21" max="21"/>
    <col width="12" customWidth="1" min="22" max="22"/>
  </cols>
  <sheetData>
    <row r="1" ht="20" customHeight="1">
      <c r="A1" s="1" t="inlineStr">
        <is>
          <t>RESUMEN MENSUAL HODOM</t>
        </is>
      </c>
      <c r="U1" s="1" t="inlineStr">
        <is>
          <t>CONTROL</t>
        </is>
      </c>
    </row>
    <row r="2" ht="20" customHeight="1">
      <c r="A2" s="2" t="inlineStr">
        <is>
          <t>Servicio</t>
        </is>
      </c>
      <c r="B2" s="4">
        <f>00_PARAMETROS!B3</f>
        <v/>
      </c>
      <c r="C2" s="2" t="inlineStr">
        <is>
          <t>Codigo</t>
        </is>
      </c>
      <c r="D2" s="4">
        <f>00_PARAMETROS!B4</f>
        <v/>
      </c>
      <c r="E2" s="2" t="inlineStr">
        <is>
          <t>Mes</t>
        </is>
      </c>
      <c r="F2" s="3" t="inlineStr">
        <is>
          <t>DICIEMBRE</t>
        </is>
      </c>
      <c r="G2" s="2" t="inlineStr">
        <is>
          <t>Ano</t>
        </is>
      </c>
      <c r="H2" s="3" t="n">
        <v>2025</v>
      </c>
    </row>
    <row r="3" ht="20" customHeight="1">
      <c r="A3" s="2" t="inlineStr">
        <is>
          <t>Camas base</t>
        </is>
      </c>
      <c r="B3" s="4">
        <f>00_PARAMETROS!B5</f>
        <v/>
      </c>
      <c r="C3" s="2" t="inlineStr">
        <is>
          <t>Promedio camas</t>
        </is>
      </c>
      <c r="D3" s="4">
        <f>AVERAGE(P7:P37)</f>
        <v/>
      </c>
      <c r="E3" s="2" t="inlineStr">
        <is>
          <t>Dias del mes</t>
        </is>
      </c>
      <c r="F3" s="3" t="n">
        <v>31</v>
      </c>
      <c r="U3" s="5" t="inlineStr">
        <is>
          <t>Dias con ocupacion negativa</t>
        </is>
      </c>
      <c r="V3" s="4">
        <f>COUNTIF(Q7:Q37,"&lt;0")</f>
        <v/>
      </c>
    </row>
    <row r="4" ht="20" customHeight="1">
      <c r="U4" s="5" t="inlineStr">
        <is>
          <t>Dias sin camas disponibles</t>
        </is>
      </c>
      <c r="V4" s="4">
        <f>COUNTBLANK(P7:P37)</f>
        <v/>
      </c>
    </row>
    <row r="5" ht="20" customHeight="1">
      <c r="U5" s="5" t="inlineStr">
        <is>
          <t>Primer dia sin existencia inicial</t>
        </is>
      </c>
      <c r="V5" s="4">
        <f>IF(C7="",1,0)</f>
        <v/>
      </c>
    </row>
    <row r="6" ht="36" customHeight="1">
      <c r="A6" s="6" t="inlineStr">
        <is>
          <t>Fecha</t>
        </is>
      </c>
      <c r="B6" s="6" t="inlineStr">
        <is>
          <t>Dia</t>
        </is>
      </c>
      <c r="C6" s="6" t="inlineStr">
        <is>
          <t>Existencia dia anterior</t>
        </is>
      </c>
      <c r="D6" s="6" t="inlineStr">
        <is>
          <t>Ing. urgencia</t>
        </is>
      </c>
      <c r="E6" s="6" t="inlineStr">
        <is>
          <t>Ing. hospitalizacion</t>
        </is>
      </c>
      <c r="F6" s="6" t="inlineStr">
        <is>
          <t>Ing. ambulatorio</t>
        </is>
      </c>
      <c r="G6" s="6" t="inlineStr">
        <is>
          <t>Ing. ley urgencia</t>
        </is>
      </c>
      <c r="H6" s="6" t="inlineStr">
        <is>
          <t>Ing. UGCC</t>
        </is>
      </c>
      <c r="I6" s="6" t="inlineStr">
        <is>
          <t>Ing. por traslado</t>
        </is>
      </c>
      <c r="J6" s="6" t="inlineStr">
        <is>
          <t>Total ingresos</t>
        </is>
      </c>
      <c r="K6" s="6" t="inlineStr">
        <is>
          <t>Egr. alta hogar / otro hosp.</t>
        </is>
      </c>
      <c r="L6" s="6" t="inlineStr">
        <is>
          <t>Egr. traslado a otro servicio</t>
        </is>
      </c>
      <c r="M6" s="6" t="inlineStr">
        <is>
          <t>Egr. fallecidos</t>
        </is>
      </c>
      <c r="N6" s="6" t="inlineStr">
        <is>
          <t>Total egresos</t>
        </is>
      </c>
      <c r="O6" s="6" t="inlineStr">
        <is>
          <t>Ingr.-egr. mismo dia</t>
        </is>
      </c>
      <c r="P6" s="6" t="inlineStr">
        <is>
          <t>Dias cama disponibles</t>
        </is>
      </c>
      <c r="Q6" s="6" t="inlineStr">
        <is>
          <t>Dias cama ocupadas</t>
        </is>
      </c>
      <c r="R6" s="6" t="inlineStr">
        <is>
          <t>Dias estada total</t>
        </is>
      </c>
      <c r="S6" s="6" t="inlineStr">
        <is>
          <t>Dias estada benef.</t>
        </is>
      </c>
      <c r="U6" s="5" t="inlineStr">
        <is>
          <t>Dias con total ingresos manualmente alterado</t>
        </is>
      </c>
      <c r="V6" s="4" t="inlineStr">
        <is>
          <t>0</t>
        </is>
      </c>
    </row>
    <row r="7" ht="20" customHeight="1">
      <c r="A7" s="4">
        <f>DATE(2025,12,1)</f>
        <v/>
      </c>
      <c r="B7" s="4" t="n">
        <v>1</v>
      </c>
      <c r="C7" s="3" t="n"/>
      <c r="D7" s="3" t="n"/>
      <c r="E7" s="3" t="n"/>
      <c r="F7" s="3" t="n"/>
      <c r="G7" s="3" t="n"/>
      <c r="H7" s="3" t="n"/>
      <c r="I7" s="3" t="n"/>
      <c r="J7" s="4">
        <f>SUM(D7:H7)+I7</f>
        <v/>
      </c>
      <c r="K7" s="3" t="n"/>
      <c r="L7" s="3" t="n"/>
      <c r="M7" s="3" t="n"/>
      <c r="N7" s="4">
        <f>SUM(K7:M7)</f>
        <v/>
      </c>
      <c r="O7" s="3" t="n"/>
      <c r="P7" s="3">
        <f>00_PARAMETROS!B5</f>
        <v/>
      </c>
      <c r="Q7" s="4">
        <f>C7+J7-N7</f>
        <v/>
      </c>
      <c r="R7" s="3" t="n"/>
      <c r="S7" s="3" t="n"/>
      <c r="U7" s="5" t="inlineStr">
        <is>
          <t>Dias con total egresos manualmente alterado</t>
        </is>
      </c>
      <c r="V7" s="4" t="inlineStr">
        <is>
          <t>0</t>
        </is>
      </c>
    </row>
    <row r="8" ht="20" customHeight="1">
      <c r="A8" s="4">
        <f>DATE(2025,12,2)</f>
        <v/>
      </c>
      <c r="B8" s="4" t="n">
        <v>2</v>
      </c>
      <c r="C8" s="4">
        <f>Q7</f>
        <v/>
      </c>
      <c r="D8" s="3" t="n"/>
      <c r="E8" s="3" t="n"/>
      <c r="F8" s="3" t="n"/>
      <c r="G8" s="3" t="n"/>
      <c r="H8" s="3" t="n"/>
      <c r="I8" s="3" t="n"/>
      <c r="J8" s="4">
        <f>SUM(D8:H8)+I8</f>
        <v/>
      </c>
      <c r="K8" s="3" t="n"/>
      <c r="L8" s="3" t="n"/>
      <c r="M8" s="3" t="n"/>
      <c r="N8" s="4">
        <f>SUM(K8:M8)</f>
        <v/>
      </c>
      <c r="O8" s="3" t="n"/>
      <c r="P8" s="3">
        <f>00_PARAMETROS!B5</f>
        <v/>
      </c>
      <c r="Q8" s="4">
        <f>C8+J8-N8</f>
        <v/>
      </c>
      <c r="R8" s="3" t="n"/>
      <c r="S8" s="3" t="n"/>
    </row>
    <row r="9" ht="20" customHeight="1">
      <c r="A9" s="4">
        <f>DATE(2025,12,3)</f>
        <v/>
      </c>
      <c r="B9" s="4" t="n">
        <v>3</v>
      </c>
      <c r="C9" s="4">
        <f>Q8</f>
        <v/>
      </c>
      <c r="D9" s="3" t="n"/>
      <c r="E9" s="3" t="n"/>
      <c r="F9" s="3" t="n"/>
      <c r="G9" s="3" t="n"/>
      <c r="H9" s="3" t="n"/>
      <c r="I9" s="3" t="n"/>
      <c r="J9" s="4">
        <f>SUM(D9:H9)+I9</f>
        <v/>
      </c>
      <c r="K9" s="3" t="n"/>
      <c r="L9" s="3" t="n"/>
      <c r="M9" s="3" t="n"/>
      <c r="N9" s="4">
        <f>SUM(K9:M9)</f>
        <v/>
      </c>
      <c r="O9" s="3" t="n"/>
      <c r="P9" s="3">
        <f>00_PARAMETROS!B5</f>
        <v/>
      </c>
      <c r="Q9" s="4">
        <f>C9+J9-N9</f>
        <v/>
      </c>
      <c r="R9" s="3" t="n"/>
      <c r="S9" s="3" t="n"/>
    </row>
    <row r="10" ht="20" customHeight="1">
      <c r="A10" s="4">
        <f>DATE(2025,12,4)</f>
        <v/>
      </c>
      <c r="B10" s="4" t="n">
        <v>4</v>
      </c>
      <c r="C10" s="4">
        <f>Q9</f>
        <v/>
      </c>
      <c r="D10" s="3" t="n"/>
      <c r="E10" s="3" t="n"/>
      <c r="F10" s="3" t="n"/>
      <c r="G10" s="3" t="n"/>
      <c r="H10" s="3" t="n"/>
      <c r="I10" s="3" t="n"/>
      <c r="J10" s="4">
        <f>SUM(D10:H10)+I10</f>
        <v/>
      </c>
      <c r="K10" s="3" t="n"/>
      <c r="L10" s="3" t="n"/>
      <c r="M10" s="3" t="n"/>
      <c r="N10" s="4">
        <f>SUM(K10:M10)</f>
        <v/>
      </c>
      <c r="O10" s="3" t="n"/>
      <c r="P10" s="3">
        <f>00_PARAMETROS!B5</f>
        <v/>
      </c>
      <c r="Q10" s="4">
        <f>C10+J10-N10</f>
        <v/>
      </c>
      <c r="R10" s="3" t="n"/>
      <c r="S10" s="3" t="n"/>
    </row>
    <row r="11" ht="20" customHeight="1">
      <c r="A11" s="4">
        <f>DATE(2025,12,5)</f>
        <v/>
      </c>
      <c r="B11" s="4" t="n">
        <v>5</v>
      </c>
      <c r="C11" s="4">
        <f>Q10</f>
        <v/>
      </c>
      <c r="D11" s="3" t="n"/>
      <c r="E11" s="3" t="n"/>
      <c r="F11" s="3" t="n"/>
      <c r="G11" s="3" t="n"/>
      <c r="H11" s="3" t="n"/>
      <c r="I11" s="3" t="n"/>
      <c r="J11" s="4">
        <f>SUM(D11:H11)+I11</f>
        <v/>
      </c>
      <c r="K11" s="3" t="n"/>
      <c r="L11" s="3" t="n"/>
      <c r="M11" s="3" t="n"/>
      <c r="N11" s="4">
        <f>SUM(K11:M11)</f>
        <v/>
      </c>
      <c r="O11" s="3" t="n"/>
      <c r="P11" s="3">
        <f>00_PARAMETROS!B5</f>
        <v/>
      </c>
      <c r="Q11" s="4">
        <f>C11+J11-N11</f>
        <v/>
      </c>
      <c r="R11" s="3" t="n"/>
      <c r="S11" s="3" t="n"/>
    </row>
    <row r="12" ht="20" customHeight="1">
      <c r="A12" s="4">
        <f>DATE(2025,12,6)</f>
        <v/>
      </c>
      <c r="B12" s="4" t="n">
        <v>6</v>
      </c>
      <c r="C12" s="4">
        <f>Q11</f>
        <v/>
      </c>
      <c r="D12" s="3" t="n"/>
      <c r="E12" s="3" t="n"/>
      <c r="F12" s="3" t="n"/>
      <c r="G12" s="3" t="n"/>
      <c r="H12" s="3" t="n"/>
      <c r="I12" s="3" t="n"/>
      <c r="J12" s="4">
        <f>SUM(D12:H12)+I12</f>
        <v/>
      </c>
      <c r="K12" s="3" t="n"/>
      <c r="L12" s="3" t="n"/>
      <c r="M12" s="3" t="n"/>
      <c r="N12" s="4">
        <f>SUM(K12:M12)</f>
        <v/>
      </c>
      <c r="O12" s="3" t="n"/>
      <c r="P12" s="3">
        <f>00_PARAMETROS!B5</f>
        <v/>
      </c>
      <c r="Q12" s="4">
        <f>C12+J12-N12</f>
        <v/>
      </c>
      <c r="R12" s="3" t="n"/>
      <c r="S12" s="3" t="n"/>
    </row>
    <row r="13" ht="20" customHeight="1">
      <c r="A13" s="4">
        <f>DATE(2025,12,7)</f>
        <v/>
      </c>
      <c r="B13" s="4" t="n">
        <v>7</v>
      </c>
      <c r="C13" s="4">
        <f>Q12</f>
        <v/>
      </c>
      <c r="D13" s="3" t="n"/>
      <c r="E13" s="3" t="n"/>
      <c r="F13" s="3" t="n"/>
      <c r="G13" s="3" t="n"/>
      <c r="H13" s="3" t="n"/>
      <c r="I13" s="3" t="n"/>
      <c r="J13" s="4">
        <f>SUM(D13:H13)+I13</f>
        <v/>
      </c>
      <c r="K13" s="3" t="n"/>
      <c r="L13" s="3" t="n"/>
      <c r="M13" s="3" t="n"/>
      <c r="N13" s="4">
        <f>SUM(K13:M13)</f>
        <v/>
      </c>
      <c r="O13" s="3" t="n"/>
      <c r="P13" s="3">
        <f>00_PARAMETROS!B5</f>
        <v/>
      </c>
      <c r="Q13" s="4">
        <f>C13+J13-N13</f>
        <v/>
      </c>
      <c r="R13" s="3" t="n"/>
      <c r="S13" s="3" t="n"/>
    </row>
    <row r="14" ht="20" customHeight="1">
      <c r="A14" s="4">
        <f>DATE(2025,12,8)</f>
        <v/>
      </c>
      <c r="B14" s="4" t="n">
        <v>8</v>
      </c>
      <c r="C14" s="4">
        <f>Q13</f>
        <v/>
      </c>
      <c r="D14" s="3" t="n"/>
      <c r="E14" s="3" t="n"/>
      <c r="F14" s="3" t="n"/>
      <c r="G14" s="3" t="n"/>
      <c r="H14" s="3" t="n"/>
      <c r="I14" s="3" t="n"/>
      <c r="J14" s="4">
        <f>SUM(D14:H14)+I14</f>
        <v/>
      </c>
      <c r="K14" s="3" t="n"/>
      <c r="L14" s="3" t="n"/>
      <c r="M14" s="3" t="n"/>
      <c r="N14" s="4">
        <f>SUM(K14:M14)</f>
        <v/>
      </c>
      <c r="O14" s="3" t="n"/>
      <c r="P14" s="3">
        <f>00_PARAMETROS!B5</f>
        <v/>
      </c>
      <c r="Q14" s="4">
        <f>C14+J14-N14</f>
        <v/>
      </c>
      <c r="R14" s="3" t="n"/>
      <c r="S14" s="3" t="n"/>
    </row>
    <row r="15" ht="20" customHeight="1">
      <c r="A15" s="4">
        <f>DATE(2025,12,9)</f>
        <v/>
      </c>
      <c r="B15" s="4" t="n">
        <v>9</v>
      </c>
      <c r="C15" s="4">
        <f>Q14</f>
        <v/>
      </c>
      <c r="D15" s="3" t="n"/>
      <c r="E15" s="3" t="n"/>
      <c r="F15" s="3" t="n"/>
      <c r="G15" s="3" t="n"/>
      <c r="H15" s="3" t="n"/>
      <c r="I15" s="3" t="n"/>
      <c r="J15" s="4">
        <f>SUM(D15:H15)+I15</f>
        <v/>
      </c>
      <c r="K15" s="3" t="n"/>
      <c r="L15" s="3" t="n"/>
      <c r="M15" s="3" t="n"/>
      <c r="N15" s="4">
        <f>SUM(K15:M15)</f>
        <v/>
      </c>
      <c r="O15" s="3" t="n"/>
      <c r="P15" s="3">
        <f>00_PARAMETROS!B5</f>
        <v/>
      </c>
      <c r="Q15" s="4">
        <f>C15+J15-N15</f>
        <v/>
      </c>
      <c r="R15" s="3" t="n"/>
      <c r="S15" s="3" t="n"/>
    </row>
    <row r="16" ht="20" customHeight="1">
      <c r="A16" s="4">
        <f>DATE(2025,12,10)</f>
        <v/>
      </c>
      <c r="B16" s="4" t="n">
        <v>10</v>
      </c>
      <c r="C16" s="4">
        <f>Q15</f>
        <v/>
      </c>
      <c r="D16" s="3" t="n"/>
      <c r="E16" s="3" t="n"/>
      <c r="F16" s="3" t="n"/>
      <c r="G16" s="3" t="n"/>
      <c r="H16" s="3" t="n"/>
      <c r="I16" s="3" t="n"/>
      <c r="J16" s="4">
        <f>SUM(D16:H16)+I16</f>
        <v/>
      </c>
      <c r="K16" s="3" t="n"/>
      <c r="L16" s="3" t="n"/>
      <c r="M16" s="3" t="n"/>
      <c r="N16" s="4">
        <f>SUM(K16:M16)</f>
        <v/>
      </c>
      <c r="O16" s="3" t="n"/>
      <c r="P16" s="3">
        <f>00_PARAMETROS!B5</f>
        <v/>
      </c>
      <c r="Q16" s="4">
        <f>C16+J16-N16</f>
        <v/>
      </c>
      <c r="R16" s="3" t="n"/>
      <c r="S16" s="3" t="n"/>
    </row>
    <row r="17" ht="20" customHeight="1">
      <c r="A17" s="4">
        <f>DATE(2025,12,11)</f>
        <v/>
      </c>
      <c r="B17" s="4" t="n">
        <v>11</v>
      </c>
      <c r="C17" s="4">
        <f>Q16</f>
        <v/>
      </c>
      <c r="D17" s="3" t="n"/>
      <c r="E17" s="3" t="n"/>
      <c r="F17" s="3" t="n"/>
      <c r="G17" s="3" t="n"/>
      <c r="H17" s="3" t="n"/>
      <c r="I17" s="3" t="n"/>
      <c r="J17" s="4">
        <f>SUM(D17:H17)+I17</f>
        <v/>
      </c>
      <c r="K17" s="3" t="n"/>
      <c r="L17" s="3" t="n"/>
      <c r="M17" s="3" t="n"/>
      <c r="N17" s="4">
        <f>SUM(K17:M17)</f>
        <v/>
      </c>
      <c r="O17" s="3" t="n"/>
      <c r="P17" s="3">
        <f>00_PARAMETROS!B5</f>
        <v/>
      </c>
      <c r="Q17" s="4">
        <f>C17+J17-N17</f>
        <v/>
      </c>
      <c r="R17" s="3" t="n"/>
      <c r="S17" s="3" t="n"/>
    </row>
    <row r="18" ht="20" customHeight="1">
      <c r="A18" s="4">
        <f>DATE(2025,12,12)</f>
        <v/>
      </c>
      <c r="B18" s="4" t="n">
        <v>12</v>
      </c>
      <c r="C18" s="4">
        <f>Q17</f>
        <v/>
      </c>
      <c r="D18" s="3" t="n"/>
      <c r="E18" s="3" t="n"/>
      <c r="F18" s="3" t="n"/>
      <c r="G18" s="3" t="n"/>
      <c r="H18" s="3" t="n"/>
      <c r="I18" s="3" t="n"/>
      <c r="J18" s="4">
        <f>SUM(D18:H18)+I18</f>
        <v/>
      </c>
      <c r="K18" s="3" t="n"/>
      <c r="L18" s="3" t="n"/>
      <c r="M18" s="3" t="n"/>
      <c r="N18" s="4">
        <f>SUM(K18:M18)</f>
        <v/>
      </c>
      <c r="O18" s="3" t="n"/>
      <c r="P18" s="3">
        <f>00_PARAMETROS!B5</f>
        <v/>
      </c>
      <c r="Q18" s="4">
        <f>C18+J18-N18</f>
        <v/>
      </c>
      <c r="R18" s="3" t="n"/>
      <c r="S18" s="3" t="n"/>
    </row>
    <row r="19" ht="20" customHeight="1">
      <c r="A19" s="4">
        <f>DATE(2025,12,13)</f>
        <v/>
      </c>
      <c r="B19" s="4" t="n">
        <v>13</v>
      </c>
      <c r="C19" s="4">
        <f>Q18</f>
        <v/>
      </c>
      <c r="D19" s="3" t="n"/>
      <c r="E19" s="3" t="n"/>
      <c r="F19" s="3" t="n"/>
      <c r="G19" s="3" t="n"/>
      <c r="H19" s="3" t="n"/>
      <c r="I19" s="3" t="n"/>
      <c r="J19" s="4">
        <f>SUM(D19:H19)+I19</f>
        <v/>
      </c>
      <c r="K19" s="3" t="n"/>
      <c r="L19" s="3" t="n"/>
      <c r="M19" s="3" t="n"/>
      <c r="N19" s="4">
        <f>SUM(K19:M19)</f>
        <v/>
      </c>
      <c r="O19" s="3" t="n"/>
      <c r="P19" s="3">
        <f>00_PARAMETROS!B5</f>
        <v/>
      </c>
      <c r="Q19" s="4">
        <f>C19+J19-N19</f>
        <v/>
      </c>
      <c r="R19" s="3" t="n"/>
      <c r="S19" s="3" t="n"/>
    </row>
    <row r="20" ht="20" customHeight="1">
      <c r="A20" s="4">
        <f>DATE(2025,12,14)</f>
        <v/>
      </c>
      <c r="B20" s="4" t="n">
        <v>14</v>
      </c>
      <c r="C20" s="4">
        <f>Q19</f>
        <v/>
      </c>
      <c r="D20" s="3" t="n"/>
      <c r="E20" s="3" t="n"/>
      <c r="F20" s="3" t="n"/>
      <c r="G20" s="3" t="n"/>
      <c r="H20" s="3" t="n"/>
      <c r="I20" s="3" t="n"/>
      <c r="J20" s="4">
        <f>SUM(D20:H20)+I20</f>
        <v/>
      </c>
      <c r="K20" s="3" t="n"/>
      <c r="L20" s="3" t="n"/>
      <c r="M20" s="3" t="n"/>
      <c r="N20" s="4">
        <f>SUM(K20:M20)</f>
        <v/>
      </c>
      <c r="O20" s="3" t="n"/>
      <c r="P20" s="3">
        <f>00_PARAMETROS!B5</f>
        <v/>
      </c>
      <c r="Q20" s="4">
        <f>C20+J20-N20</f>
        <v/>
      </c>
      <c r="R20" s="3" t="n"/>
      <c r="S20" s="3" t="n"/>
    </row>
    <row r="21" ht="20" customHeight="1">
      <c r="A21" s="4">
        <f>DATE(2025,12,15)</f>
        <v/>
      </c>
      <c r="B21" s="4" t="n">
        <v>15</v>
      </c>
      <c r="C21" s="4">
        <f>Q20</f>
        <v/>
      </c>
      <c r="D21" s="3" t="n"/>
      <c r="E21" s="3" t="n"/>
      <c r="F21" s="3" t="n"/>
      <c r="G21" s="3" t="n"/>
      <c r="H21" s="3" t="n"/>
      <c r="I21" s="3" t="n"/>
      <c r="J21" s="4">
        <f>SUM(D21:H21)+I21</f>
        <v/>
      </c>
      <c r="K21" s="3" t="n"/>
      <c r="L21" s="3" t="n"/>
      <c r="M21" s="3" t="n"/>
      <c r="N21" s="4">
        <f>SUM(K21:M21)</f>
        <v/>
      </c>
      <c r="O21" s="3" t="n"/>
      <c r="P21" s="3">
        <f>00_PARAMETROS!B5</f>
        <v/>
      </c>
      <c r="Q21" s="4">
        <f>C21+J21-N21</f>
        <v/>
      </c>
      <c r="R21" s="3" t="n"/>
      <c r="S21" s="3" t="n"/>
    </row>
    <row r="22" ht="20" customHeight="1">
      <c r="A22" s="4">
        <f>DATE(2025,12,16)</f>
        <v/>
      </c>
      <c r="B22" s="4" t="n">
        <v>16</v>
      </c>
      <c r="C22" s="4">
        <f>Q21</f>
        <v/>
      </c>
      <c r="D22" s="3" t="n"/>
      <c r="E22" s="3" t="n"/>
      <c r="F22" s="3" t="n"/>
      <c r="G22" s="3" t="n"/>
      <c r="H22" s="3" t="n"/>
      <c r="I22" s="3" t="n"/>
      <c r="J22" s="4">
        <f>SUM(D22:H22)+I22</f>
        <v/>
      </c>
      <c r="K22" s="3" t="n"/>
      <c r="L22" s="3" t="n"/>
      <c r="M22" s="3" t="n"/>
      <c r="N22" s="4">
        <f>SUM(K22:M22)</f>
        <v/>
      </c>
      <c r="O22" s="3" t="n"/>
      <c r="P22" s="3">
        <f>00_PARAMETROS!B5</f>
        <v/>
      </c>
      <c r="Q22" s="4">
        <f>C22+J22-N22</f>
        <v/>
      </c>
      <c r="R22" s="3" t="n"/>
      <c r="S22" s="3" t="n"/>
    </row>
    <row r="23" ht="20" customHeight="1">
      <c r="A23" s="4">
        <f>DATE(2025,12,17)</f>
        <v/>
      </c>
      <c r="B23" s="4" t="n">
        <v>17</v>
      </c>
      <c r="C23" s="4">
        <f>Q22</f>
        <v/>
      </c>
      <c r="D23" s="3" t="n"/>
      <c r="E23" s="3" t="n"/>
      <c r="F23" s="3" t="n"/>
      <c r="G23" s="3" t="n"/>
      <c r="H23" s="3" t="n"/>
      <c r="I23" s="3" t="n"/>
      <c r="J23" s="4">
        <f>SUM(D23:H23)+I23</f>
        <v/>
      </c>
      <c r="K23" s="3" t="n"/>
      <c r="L23" s="3" t="n"/>
      <c r="M23" s="3" t="n"/>
      <c r="N23" s="4">
        <f>SUM(K23:M23)</f>
        <v/>
      </c>
      <c r="O23" s="3" t="n"/>
      <c r="P23" s="3">
        <f>00_PARAMETROS!B5</f>
        <v/>
      </c>
      <c r="Q23" s="4">
        <f>C23+J23-N23</f>
        <v/>
      </c>
      <c r="R23" s="3" t="n"/>
      <c r="S23" s="3" t="n"/>
    </row>
    <row r="24" ht="20" customHeight="1">
      <c r="A24" s="4">
        <f>DATE(2025,12,18)</f>
        <v/>
      </c>
      <c r="B24" s="4" t="n">
        <v>18</v>
      </c>
      <c r="C24" s="4">
        <f>Q23</f>
        <v/>
      </c>
      <c r="D24" s="3" t="n"/>
      <c r="E24" s="3" t="n"/>
      <c r="F24" s="3" t="n"/>
      <c r="G24" s="3" t="n"/>
      <c r="H24" s="3" t="n"/>
      <c r="I24" s="3" t="n"/>
      <c r="J24" s="4">
        <f>SUM(D24:H24)+I24</f>
        <v/>
      </c>
      <c r="K24" s="3" t="n"/>
      <c r="L24" s="3" t="n"/>
      <c r="M24" s="3" t="n"/>
      <c r="N24" s="4">
        <f>SUM(K24:M24)</f>
        <v/>
      </c>
      <c r="O24" s="3" t="n"/>
      <c r="P24" s="3">
        <f>00_PARAMETROS!B5</f>
        <v/>
      </c>
      <c r="Q24" s="4">
        <f>C24+J24-N24</f>
        <v/>
      </c>
      <c r="R24" s="3" t="n"/>
      <c r="S24" s="3" t="n"/>
    </row>
    <row r="25" ht="20" customHeight="1">
      <c r="A25" s="4">
        <f>DATE(2025,12,19)</f>
        <v/>
      </c>
      <c r="B25" s="4" t="n">
        <v>19</v>
      </c>
      <c r="C25" s="4">
        <f>Q24</f>
        <v/>
      </c>
      <c r="D25" s="3" t="n"/>
      <c r="E25" s="3" t="n"/>
      <c r="F25" s="3" t="n"/>
      <c r="G25" s="3" t="n"/>
      <c r="H25" s="3" t="n"/>
      <c r="I25" s="3" t="n"/>
      <c r="J25" s="4">
        <f>SUM(D25:H25)+I25</f>
        <v/>
      </c>
      <c r="K25" s="3" t="n"/>
      <c r="L25" s="3" t="n"/>
      <c r="M25" s="3" t="n"/>
      <c r="N25" s="4">
        <f>SUM(K25:M25)</f>
        <v/>
      </c>
      <c r="O25" s="3" t="n"/>
      <c r="P25" s="3">
        <f>00_PARAMETROS!B5</f>
        <v/>
      </c>
      <c r="Q25" s="4">
        <f>C25+J25-N25</f>
        <v/>
      </c>
      <c r="R25" s="3" t="n"/>
      <c r="S25" s="3" t="n"/>
    </row>
    <row r="26" ht="20" customHeight="1">
      <c r="A26" s="4">
        <f>DATE(2025,12,20)</f>
        <v/>
      </c>
      <c r="B26" s="4" t="n">
        <v>20</v>
      </c>
      <c r="C26" s="4">
        <f>Q25</f>
        <v/>
      </c>
      <c r="D26" s="3" t="n"/>
      <c r="E26" s="3" t="n"/>
      <c r="F26" s="3" t="n"/>
      <c r="G26" s="3" t="n"/>
      <c r="H26" s="3" t="n"/>
      <c r="I26" s="3" t="n"/>
      <c r="J26" s="4">
        <f>SUM(D26:H26)+I26</f>
        <v/>
      </c>
      <c r="K26" s="3" t="n"/>
      <c r="L26" s="3" t="n"/>
      <c r="M26" s="3" t="n"/>
      <c r="N26" s="4">
        <f>SUM(K26:M26)</f>
        <v/>
      </c>
      <c r="O26" s="3" t="n"/>
      <c r="P26" s="3">
        <f>00_PARAMETROS!B5</f>
        <v/>
      </c>
      <c r="Q26" s="4">
        <f>C26+J26-N26</f>
        <v/>
      </c>
      <c r="R26" s="3" t="n"/>
      <c r="S26" s="3" t="n"/>
    </row>
    <row r="27" ht="20" customHeight="1">
      <c r="A27" s="4">
        <f>DATE(2025,12,21)</f>
        <v/>
      </c>
      <c r="B27" s="4" t="n">
        <v>21</v>
      </c>
      <c r="C27" s="4">
        <f>Q26</f>
        <v/>
      </c>
      <c r="D27" s="3" t="n"/>
      <c r="E27" s="3" t="n"/>
      <c r="F27" s="3" t="n"/>
      <c r="G27" s="3" t="n"/>
      <c r="H27" s="3" t="n"/>
      <c r="I27" s="3" t="n"/>
      <c r="J27" s="4">
        <f>SUM(D27:H27)+I27</f>
        <v/>
      </c>
      <c r="K27" s="3" t="n"/>
      <c r="L27" s="3" t="n"/>
      <c r="M27" s="3" t="n"/>
      <c r="N27" s="4">
        <f>SUM(K27:M27)</f>
        <v/>
      </c>
      <c r="O27" s="3" t="n"/>
      <c r="P27" s="3">
        <f>00_PARAMETROS!B5</f>
        <v/>
      </c>
      <c r="Q27" s="4">
        <f>C27+J27-N27</f>
        <v/>
      </c>
      <c r="R27" s="3" t="n"/>
      <c r="S27" s="3" t="n"/>
    </row>
    <row r="28" ht="20" customHeight="1">
      <c r="A28" s="4">
        <f>DATE(2025,12,22)</f>
        <v/>
      </c>
      <c r="B28" s="4" t="n">
        <v>22</v>
      </c>
      <c r="C28" s="4">
        <f>Q27</f>
        <v/>
      </c>
      <c r="D28" s="3" t="n"/>
      <c r="E28" s="3" t="n"/>
      <c r="F28" s="3" t="n"/>
      <c r="G28" s="3" t="n"/>
      <c r="H28" s="3" t="n"/>
      <c r="I28" s="3" t="n"/>
      <c r="J28" s="4">
        <f>SUM(D28:H28)+I28</f>
        <v/>
      </c>
      <c r="K28" s="3" t="n"/>
      <c r="L28" s="3" t="n"/>
      <c r="M28" s="3" t="n"/>
      <c r="N28" s="4">
        <f>SUM(K28:M28)</f>
        <v/>
      </c>
      <c r="O28" s="3" t="n"/>
      <c r="P28" s="3">
        <f>00_PARAMETROS!B5</f>
        <v/>
      </c>
      <c r="Q28" s="4">
        <f>C28+J28-N28</f>
        <v/>
      </c>
      <c r="R28" s="3" t="n"/>
      <c r="S28" s="3" t="n"/>
    </row>
    <row r="29" ht="20" customHeight="1">
      <c r="A29" s="4">
        <f>DATE(2025,12,23)</f>
        <v/>
      </c>
      <c r="B29" s="4" t="n">
        <v>23</v>
      </c>
      <c r="C29" s="4">
        <f>Q28</f>
        <v/>
      </c>
      <c r="D29" s="3" t="n"/>
      <c r="E29" s="3" t="n"/>
      <c r="F29" s="3" t="n"/>
      <c r="G29" s="3" t="n"/>
      <c r="H29" s="3" t="n"/>
      <c r="I29" s="3" t="n"/>
      <c r="J29" s="4">
        <f>SUM(D29:H29)+I29</f>
        <v/>
      </c>
      <c r="K29" s="3" t="n"/>
      <c r="L29" s="3" t="n"/>
      <c r="M29" s="3" t="n"/>
      <c r="N29" s="4">
        <f>SUM(K29:M29)</f>
        <v/>
      </c>
      <c r="O29" s="3" t="n"/>
      <c r="P29" s="3">
        <f>00_PARAMETROS!B5</f>
        <v/>
      </c>
      <c r="Q29" s="4">
        <f>C29+J29-N29</f>
        <v/>
      </c>
      <c r="R29" s="3" t="n"/>
      <c r="S29" s="3" t="n"/>
    </row>
    <row r="30" ht="20" customHeight="1">
      <c r="A30" s="4">
        <f>DATE(2025,12,24)</f>
        <v/>
      </c>
      <c r="B30" s="4" t="n">
        <v>24</v>
      </c>
      <c r="C30" s="4">
        <f>Q29</f>
        <v/>
      </c>
      <c r="D30" s="3" t="n"/>
      <c r="E30" s="3" t="n"/>
      <c r="F30" s="3" t="n"/>
      <c r="G30" s="3" t="n"/>
      <c r="H30" s="3" t="n"/>
      <c r="I30" s="3" t="n"/>
      <c r="J30" s="4">
        <f>SUM(D30:H30)+I30</f>
        <v/>
      </c>
      <c r="K30" s="3" t="n"/>
      <c r="L30" s="3" t="n"/>
      <c r="M30" s="3" t="n"/>
      <c r="N30" s="4">
        <f>SUM(K30:M30)</f>
        <v/>
      </c>
      <c r="O30" s="3" t="n"/>
      <c r="P30" s="3">
        <f>00_PARAMETROS!B5</f>
        <v/>
      </c>
      <c r="Q30" s="4">
        <f>C30+J30-N30</f>
        <v/>
      </c>
      <c r="R30" s="3" t="n"/>
      <c r="S30" s="3" t="n"/>
    </row>
    <row r="31" ht="20" customHeight="1">
      <c r="A31" s="4">
        <f>DATE(2025,12,25)</f>
        <v/>
      </c>
      <c r="B31" s="4" t="n">
        <v>25</v>
      </c>
      <c r="C31" s="4">
        <f>Q30</f>
        <v/>
      </c>
      <c r="D31" s="3" t="n"/>
      <c r="E31" s="3" t="n"/>
      <c r="F31" s="3" t="n"/>
      <c r="G31" s="3" t="n"/>
      <c r="H31" s="3" t="n"/>
      <c r="I31" s="3" t="n"/>
      <c r="J31" s="4">
        <f>SUM(D31:H31)+I31</f>
        <v/>
      </c>
      <c r="K31" s="3" t="n"/>
      <c r="L31" s="3" t="n"/>
      <c r="M31" s="3" t="n"/>
      <c r="N31" s="4">
        <f>SUM(K31:M31)</f>
        <v/>
      </c>
      <c r="O31" s="3" t="n"/>
      <c r="P31" s="3">
        <f>00_PARAMETROS!B5</f>
        <v/>
      </c>
      <c r="Q31" s="4">
        <f>C31+J31-N31</f>
        <v/>
      </c>
      <c r="R31" s="3" t="n"/>
      <c r="S31" s="3" t="n"/>
    </row>
    <row r="32" ht="20" customHeight="1">
      <c r="A32" s="4">
        <f>DATE(2025,12,26)</f>
        <v/>
      </c>
      <c r="B32" s="4" t="n">
        <v>26</v>
      </c>
      <c r="C32" s="4">
        <f>Q31</f>
        <v/>
      </c>
      <c r="D32" s="3" t="n"/>
      <c r="E32" s="3" t="n"/>
      <c r="F32" s="3" t="n"/>
      <c r="G32" s="3" t="n"/>
      <c r="H32" s="3" t="n"/>
      <c r="I32" s="3" t="n"/>
      <c r="J32" s="4">
        <f>SUM(D32:H32)+I32</f>
        <v/>
      </c>
      <c r="K32" s="3" t="n"/>
      <c r="L32" s="3" t="n"/>
      <c r="M32" s="3" t="n"/>
      <c r="N32" s="4">
        <f>SUM(K32:M32)</f>
        <v/>
      </c>
      <c r="O32" s="3" t="n"/>
      <c r="P32" s="3">
        <f>00_PARAMETROS!B5</f>
        <v/>
      </c>
      <c r="Q32" s="4">
        <f>C32+J32-N32</f>
        <v/>
      </c>
      <c r="R32" s="3" t="n"/>
      <c r="S32" s="3" t="n"/>
    </row>
    <row r="33" ht="20" customHeight="1">
      <c r="A33" s="4">
        <f>DATE(2025,12,27)</f>
        <v/>
      </c>
      <c r="B33" s="4" t="n">
        <v>27</v>
      </c>
      <c r="C33" s="4">
        <f>Q32</f>
        <v/>
      </c>
      <c r="D33" s="3" t="n"/>
      <c r="E33" s="3" t="n"/>
      <c r="F33" s="3" t="n"/>
      <c r="G33" s="3" t="n"/>
      <c r="H33" s="3" t="n"/>
      <c r="I33" s="3" t="n"/>
      <c r="J33" s="4">
        <f>SUM(D33:H33)+I33</f>
        <v/>
      </c>
      <c r="K33" s="3" t="n"/>
      <c r="L33" s="3" t="n"/>
      <c r="M33" s="3" t="n"/>
      <c r="N33" s="4">
        <f>SUM(K33:M33)</f>
        <v/>
      </c>
      <c r="O33" s="3" t="n"/>
      <c r="P33" s="3">
        <f>00_PARAMETROS!B5</f>
        <v/>
      </c>
      <c r="Q33" s="4">
        <f>C33+J33-N33</f>
        <v/>
      </c>
      <c r="R33" s="3" t="n"/>
      <c r="S33" s="3" t="n"/>
    </row>
    <row r="34" ht="20" customHeight="1">
      <c r="A34" s="4">
        <f>DATE(2025,12,28)</f>
        <v/>
      </c>
      <c r="B34" s="4" t="n">
        <v>28</v>
      </c>
      <c r="C34" s="4">
        <f>Q33</f>
        <v/>
      </c>
      <c r="D34" s="3" t="n"/>
      <c r="E34" s="3" t="n"/>
      <c r="F34" s="3" t="n"/>
      <c r="G34" s="3" t="n"/>
      <c r="H34" s="3" t="n"/>
      <c r="I34" s="3" t="n"/>
      <c r="J34" s="4">
        <f>SUM(D34:H34)+I34</f>
        <v/>
      </c>
      <c r="K34" s="3" t="n"/>
      <c r="L34" s="3" t="n"/>
      <c r="M34" s="3" t="n"/>
      <c r="N34" s="4">
        <f>SUM(K34:M34)</f>
        <v/>
      </c>
      <c r="O34" s="3" t="n"/>
      <c r="P34" s="3">
        <f>00_PARAMETROS!B5</f>
        <v/>
      </c>
      <c r="Q34" s="4">
        <f>C34+J34-N34</f>
        <v/>
      </c>
      <c r="R34" s="3" t="n"/>
      <c r="S34" s="3" t="n"/>
    </row>
    <row r="35" ht="20" customHeight="1">
      <c r="A35" s="4">
        <f>DATE(2025,12,29)</f>
        <v/>
      </c>
      <c r="B35" s="4" t="n">
        <v>29</v>
      </c>
      <c r="C35" s="4">
        <f>Q34</f>
        <v/>
      </c>
      <c r="D35" s="3" t="n"/>
      <c r="E35" s="3" t="n"/>
      <c r="F35" s="3" t="n"/>
      <c r="G35" s="3" t="n"/>
      <c r="H35" s="3" t="n"/>
      <c r="I35" s="3" t="n"/>
      <c r="J35" s="4">
        <f>SUM(D35:H35)+I35</f>
        <v/>
      </c>
      <c r="K35" s="3" t="n"/>
      <c r="L35" s="3" t="n"/>
      <c r="M35" s="3" t="n"/>
      <c r="N35" s="4">
        <f>SUM(K35:M35)</f>
        <v/>
      </c>
      <c r="O35" s="3" t="n"/>
      <c r="P35" s="3">
        <f>00_PARAMETROS!B5</f>
        <v/>
      </c>
      <c r="Q35" s="4">
        <f>C35+J35-N35</f>
        <v/>
      </c>
      <c r="R35" s="3" t="n"/>
      <c r="S35" s="3" t="n"/>
    </row>
    <row r="36" ht="20" customHeight="1">
      <c r="A36" s="4">
        <f>DATE(2025,12,30)</f>
        <v/>
      </c>
      <c r="B36" s="4" t="n">
        <v>30</v>
      </c>
      <c r="C36" s="4">
        <f>Q35</f>
        <v/>
      </c>
      <c r="D36" s="3" t="n"/>
      <c r="E36" s="3" t="n"/>
      <c r="F36" s="3" t="n"/>
      <c r="G36" s="3" t="n"/>
      <c r="H36" s="3" t="n"/>
      <c r="I36" s="3" t="n"/>
      <c r="J36" s="4">
        <f>SUM(D36:H36)+I36</f>
        <v/>
      </c>
      <c r="K36" s="3" t="n"/>
      <c r="L36" s="3" t="n"/>
      <c r="M36" s="3" t="n"/>
      <c r="N36" s="4">
        <f>SUM(K36:M36)</f>
        <v/>
      </c>
      <c r="O36" s="3" t="n"/>
      <c r="P36" s="3">
        <f>00_PARAMETROS!B5</f>
        <v/>
      </c>
      <c r="Q36" s="4">
        <f>C36+J36-N36</f>
        <v/>
      </c>
      <c r="R36" s="3" t="n"/>
      <c r="S36" s="3" t="n"/>
    </row>
    <row r="37" ht="20" customHeight="1">
      <c r="A37" s="4">
        <f>DATE(2025,12,31)</f>
        <v/>
      </c>
      <c r="B37" s="4" t="n">
        <v>31</v>
      </c>
      <c r="C37" s="4">
        <f>Q36</f>
        <v/>
      </c>
      <c r="D37" s="3" t="n"/>
      <c r="E37" s="3" t="n"/>
      <c r="F37" s="3" t="n"/>
      <c r="G37" s="3" t="n"/>
      <c r="H37" s="3" t="n"/>
      <c r="I37" s="3" t="n"/>
      <c r="J37" s="4">
        <f>SUM(D37:H37)+I37</f>
        <v/>
      </c>
      <c r="K37" s="3" t="n"/>
      <c r="L37" s="3" t="n"/>
      <c r="M37" s="3" t="n"/>
      <c r="N37" s="4">
        <f>SUM(K37:M37)</f>
        <v/>
      </c>
      <c r="O37" s="3" t="n"/>
      <c r="P37" s="3">
        <f>00_PARAMETROS!B5</f>
        <v/>
      </c>
      <c r="Q37" s="4">
        <f>C37+J37-N37</f>
        <v/>
      </c>
      <c r="R37" s="3" t="n"/>
      <c r="S37" s="3" t="n"/>
    </row>
    <row r="38" ht="20" customHeight="1">
      <c r="A38" s="2" t="inlineStr">
        <is>
          <t>TOTAL</t>
        </is>
      </c>
      <c r="B38" s="7" t="n"/>
      <c r="C38" s="7" t="n"/>
      <c r="D38" s="8">
        <f>SUM(D7:D37)</f>
        <v/>
      </c>
      <c r="E38" s="8">
        <f>SUM(E7:E37)</f>
        <v/>
      </c>
      <c r="F38" s="8">
        <f>SUM(F7:F37)</f>
        <v/>
      </c>
      <c r="G38" s="8">
        <f>SUM(G7:G37)</f>
        <v/>
      </c>
      <c r="H38" s="8">
        <f>SUM(H7:H37)</f>
        <v/>
      </c>
      <c r="I38" s="8">
        <f>SUM(I7:I37)</f>
        <v/>
      </c>
      <c r="J38" s="8">
        <f>SUM(J7:J37)</f>
        <v/>
      </c>
      <c r="K38" s="8">
        <f>SUM(K7:K37)</f>
        <v/>
      </c>
      <c r="L38" s="8">
        <f>SUM(L7:L37)</f>
        <v/>
      </c>
      <c r="M38" s="8">
        <f>SUM(M7:M37)</f>
        <v/>
      </c>
      <c r="N38" s="8">
        <f>SUM(N7:N37)</f>
        <v/>
      </c>
      <c r="O38" s="8">
        <f>SUM(O7:O37)</f>
        <v/>
      </c>
      <c r="P38" s="8">
        <f>SUM(P7:P37)</f>
        <v/>
      </c>
      <c r="Q38" s="8">
        <f>SUM(Q7:Q37)</f>
        <v/>
      </c>
      <c r="R38" s="8">
        <f>SUM(R7:R37)</f>
        <v/>
      </c>
      <c r="S38" s="8">
        <f>SUM(S7:S37)</f>
        <v/>
      </c>
    </row>
    <row r="39" ht="20" customHeight="1"/>
    <row r="40" ht="20" customHeight="1"/>
    <row r="41" ht="20" customHeight="1">
      <c r="A41" s="2" t="inlineStr">
        <is>
          <t>RESUMEN DEL MES</t>
        </is>
      </c>
      <c r="B41" s="9" t="n"/>
      <c r="C41" s="9" t="n"/>
      <c r="D41" s="10" t="n"/>
    </row>
    <row r="42" ht="20" customHeight="1">
      <c r="A42" s="11" t="inlineStr">
        <is>
          <t>Ingresos</t>
        </is>
      </c>
      <c r="B42" s="4">
        <f>J38</f>
        <v/>
      </c>
    </row>
    <row r="43" ht="20" customHeight="1">
      <c r="A43" s="11" t="inlineStr">
        <is>
          <t>Altas al hogar / otro hosp.</t>
        </is>
      </c>
      <c r="B43" s="4">
        <f>K38</f>
        <v/>
      </c>
    </row>
    <row r="44" ht="20" customHeight="1">
      <c r="A44" s="11" t="inlineStr">
        <is>
          <t>Traslados a otro servicio</t>
        </is>
      </c>
      <c r="B44" s="4">
        <f>L38</f>
        <v/>
      </c>
    </row>
    <row r="45" ht="20" customHeight="1">
      <c r="A45" s="11" t="inlineStr">
        <is>
          <t>Fallecidos</t>
        </is>
      </c>
      <c r="B45" s="4">
        <f>M38</f>
        <v/>
      </c>
    </row>
    <row r="46" ht="20" customHeight="1">
      <c r="A46" s="11" t="inlineStr">
        <is>
          <t>Total egresos</t>
        </is>
      </c>
      <c r="B46" s="4">
        <f>N38</f>
        <v/>
      </c>
    </row>
    <row r="47" ht="20" customHeight="1">
      <c r="A47" s="11" t="inlineStr">
        <is>
          <t>Pacientes atendidos del mes</t>
        </is>
      </c>
      <c r="B47" s="4">
        <f>C7+J38</f>
        <v/>
      </c>
    </row>
    <row r="48" ht="20" customHeight="1">
      <c r="A48" s="11" t="inlineStr">
        <is>
          <t>Dias personas atendidas</t>
        </is>
      </c>
      <c r="B48" s="4">
        <f>R38</f>
        <v/>
      </c>
    </row>
    <row r="49" ht="20" customHeight="1">
      <c r="A49" s="11" t="inlineStr">
        <is>
          <t>Indice ocupacional %</t>
        </is>
      </c>
      <c r="B49" s="12">
        <f>IFERROR(Q38/P38,"")</f>
        <v/>
      </c>
    </row>
    <row r="50" ht="20" customHeight="1">
      <c r="A50" s="11" t="inlineStr">
        <is>
          <t>Promedio dia de estada</t>
        </is>
      </c>
      <c r="B50" s="13">
        <f>IFERROR(R38/N38,"")</f>
        <v/>
      </c>
    </row>
  </sheetData>
  <sheetProtection selectLockedCells="1" selectUnlockedCells="1" sheet="1" objects="0" insertRows="1" insertHyperlinks="1" autoFilter="1" scenarios="0" formatColumns="1" deleteColumns="1" insertColumns="1" pivotTables="1" deleteRows="1" formatCells="1" formatRows="1" sort="1" password="C752"/>
  <mergeCells count="3">
    <mergeCell ref="U1:W1"/>
    <mergeCell ref="A41:D41"/>
    <mergeCell ref="A1:S1"/>
  </mergeCells>
  <dataValidations count="1">
    <dataValidation sqref="D7 D8 D9 D10 D11 D12 D13 D14 D15 D16 D17 D18 D19 D20 D21 D22 D23 D24 D25 D26 D27 D28 D29 D30 D31 D32 D33 D34 D35 D36 D37 E7 E8 E9 E10 E11 E12 E13 E14 E15 E16 E17 E18 E19 E20 E21 E22 E23 E24 E25 E26 E27 E28 E29 E30 E31 E32 E33 E34 E35 E36 E37 F7 F8 F9 F10 F11 F12 F13 F14 F15 F16 F17 F18 F19 F20 F21 F22 F23 F24 F25 F26 F27 F28 F29 F30 F31 F32 F33 F34 F35 F36 F37 G7 G8 G9 G10 G11 G12 G13 G14 G15 G16 G17 G18 G19 G20 G21 G22 G23 G24 G25 G26 G27 G28 G29 G30 G31 G32 G33 G34 G35 G36 G37 H7 H8 H9 H10 H11 H12 H13 H14 H15 H16 H17 H18 H19 H20 H21 H22 H23 H24 H25 H26 H27 H28 H29 H30 H31 H32 H33 H34 H35 H36 H37 I7 I8 I9 I10 I11 I12 I13 I14 I15 I16 I17 I18 I19 I20 I21 I22 I23 I24 I25 I26 I27 I28 I29 I30 I31 I32 I33 I34 I35 I36 I37 K7 K8 K9 K10 K11 K12 K13 K14 K15 K16 K17 K18 K19 K20 K21 K22 K23 K24 K25 K26 K27 K28 K29 K30 K31 K32 K33 K34 K35 K36 K37 L7 L8 L9 L10 L11 L12 L13 L14 L15 L16 L17 L18 L19 L20 L21 L22 L23 L24 L25 L26 L27 L28 L29 L30 L31 L32 L33 L34 L35 L36 L37 M7 M8 M9 M10 M11 M12 M13 M14 M15 M16 M17 M18 M19 M20 M21 M22 M23 M24 M25 M26 M27 M28 M29 M30 M31 M32 M33 M34 M35 M36 M37 O7 O8 O9 O10 O11 O12 O13 O14 O15 O16 O17 O18 O19 O20 O21 O22 O23 O24 O25 O26 O27 O28 O29 O30 O31 O32 O33 O34 O35 O36 O37 P7 P8 P9 P10 P11 P12 P13 P14 P15 P16 P17 P18 P19 P20 P21 P22 P23 P24 P25 P26 P27 P28 P29 P30 P31 P32 P33 P34 P35 P36 P37 R7 R8 R9 R10 R11 R12 R13 R14 R15 R16 R17 R18 R19 R20 R21 R22 R23 R24 R25 R26 R27 R28 R29 R30 R31 R32 R33 R34 R35 R36 R37 S7 S8 S9 S10 S11 S12 S13 S14 S15 S16 S17 S18 S19 S20 S21 S22 S23 S24 S25 S26 S27 S28 S29 S30 S31 S32 S33 S34 S35 S36 S37" showDropDown="0" showInputMessage="0" showErrorMessage="0" allowBlank="1" prompt="Ingresa un numero entero mayor o igual a 0." type="whole" operator="greaterThanOrEqual">
      <formula1>0</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W50"/>
  <sheetViews>
    <sheetView showGridLines="1" workbookViewId="0">
      <pane ySplit="6" topLeftCell="A7" activePane="bottomLeft" state="frozen"/>
      <selection pane="bottomLeft" activeCell="A1" sqref="A1"/>
    </sheetView>
  </sheetViews>
  <sheetFormatPr baseColWidth="8" defaultRowHeight="15"/>
  <cols>
    <col width="13" customWidth="1" min="1" max="1"/>
    <col width="7" customWidth="1" min="2" max="2"/>
    <col width="20" customWidth="1" min="3" max="3"/>
    <col width="13" customWidth="1" min="4" max="4"/>
    <col width="18" customWidth="1" min="5" max="5"/>
    <col width="15" customWidth="1" min="6" max="6"/>
    <col width="16" customWidth="1" min="7" max="7"/>
    <col width="10" customWidth="1" min="8" max="8"/>
    <col width="15" customWidth="1" min="9" max="9"/>
    <col width="13" customWidth="1" min="10" max="10"/>
    <col width="20" customWidth="1" min="11" max="11"/>
    <col width="22" customWidth="1" min="12" max="12"/>
    <col width="14" customWidth="1" min="13" max="13"/>
    <col width="13" customWidth="1" min="14" max="14"/>
    <col width="18" customWidth="1" min="15" max="15"/>
    <col width="18" customWidth="1" min="16" max="16"/>
    <col width="17" customWidth="1" min="17" max="17"/>
    <col width="16" customWidth="1" min="18" max="18"/>
    <col width="16" customWidth="1" min="19" max="19"/>
    <col width="34" customWidth="1" min="21" max="21"/>
    <col width="12" customWidth="1" min="22" max="22"/>
  </cols>
  <sheetData>
    <row r="1" ht="20" customHeight="1">
      <c r="A1" s="1" t="inlineStr">
        <is>
          <t>RESUMEN MENSUAL HODOM</t>
        </is>
      </c>
      <c r="U1" s="1" t="inlineStr">
        <is>
          <t>CONTROL</t>
        </is>
      </c>
    </row>
    <row r="2" ht="20" customHeight="1">
      <c r="A2" s="2" t="inlineStr">
        <is>
          <t>Servicio</t>
        </is>
      </c>
      <c r="B2" s="4">
        <f>00_PARAMETROS!B3</f>
        <v/>
      </c>
      <c r="C2" s="2" t="inlineStr">
        <is>
          <t>Codigo</t>
        </is>
      </c>
      <c r="D2" s="4">
        <f>00_PARAMETROS!B4</f>
        <v/>
      </c>
      <c r="E2" s="2" t="inlineStr">
        <is>
          <t>Mes</t>
        </is>
      </c>
      <c r="F2" s="3" t="inlineStr">
        <is>
          <t>ENERO</t>
        </is>
      </c>
      <c r="G2" s="2" t="inlineStr">
        <is>
          <t>Ano</t>
        </is>
      </c>
      <c r="H2" s="3" t="n">
        <v>2026</v>
      </c>
    </row>
    <row r="3" ht="20" customHeight="1">
      <c r="A3" s="2" t="inlineStr">
        <is>
          <t>Camas base</t>
        </is>
      </c>
      <c r="B3" s="4">
        <f>00_PARAMETROS!B5</f>
        <v/>
      </c>
      <c r="C3" s="2" t="inlineStr">
        <is>
          <t>Promedio camas</t>
        </is>
      </c>
      <c r="D3" s="4">
        <f>AVERAGE(P7:P37)</f>
        <v/>
      </c>
      <c r="E3" s="2" t="inlineStr">
        <is>
          <t>Dias del mes</t>
        </is>
      </c>
      <c r="F3" s="3" t="n">
        <v>31</v>
      </c>
      <c r="U3" s="5" t="inlineStr">
        <is>
          <t>Dias con ocupacion negativa</t>
        </is>
      </c>
      <c r="V3" s="4">
        <f>COUNTIF(Q7:Q37,"&lt;0")</f>
        <v/>
      </c>
    </row>
    <row r="4" ht="20" customHeight="1">
      <c r="U4" s="5" t="inlineStr">
        <is>
          <t>Dias sin camas disponibles</t>
        </is>
      </c>
      <c r="V4" s="4">
        <f>COUNTBLANK(P7:P37)</f>
        <v/>
      </c>
    </row>
    <row r="5" ht="20" customHeight="1">
      <c r="U5" s="5" t="inlineStr">
        <is>
          <t>Primer dia sin existencia inicial</t>
        </is>
      </c>
      <c r="V5" s="4">
        <f>IF(C7="",1,0)</f>
        <v/>
      </c>
    </row>
    <row r="6" ht="36" customHeight="1">
      <c r="A6" s="6" t="inlineStr">
        <is>
          <t>Fecha</t>
        </is>
      </c>
      <c r="B6" s="6" t="inlineStr">
        <is>
          <t>Dia</t>
        </is>
      </c>
      <c r="C6" s="6" t="inlineStr">
        <is>
          <t>Existencia dia anterior</t>
        </is>
      </c>
      <c r="D6" s="6" t="inlineStr">
        <is>
          <t>Ing. urgencia</t>
        </is>
      </c>
      <c r="E6" s="6" t="inlineStr">
        <is>
          <t>Ing. hospitalizacion</t>
        </is>
      </c>
      <c r="F6" s="6" t="inlineStr">
        <is>
          <t>Ing. ambulatorio</t>
        </is>
      </c>
      <c r="G6" s="6" t="inlineStr">
        <is>
          <t>Ing. ley urgencia</t>
        </is>
      </c>
      <c r="H6" s="6" t="inlineStr">
        <is>
          <t>Ing. UGCC</t>
        </is>
      </c>
      <c r="I6" s="6" t="inlineStr">
        <is>
          <t>Ing. por traslado</t>
        </is>
      </c>
      <c r="J6" s="6" t="inlineStr">
        <is>
          <t>Total ingresos</t>
        </is>
      </c>
      <c r="K6" s="6" t="inlineStr">
        <is>
          <t>Egr. alta hogar / otro hosp.</t>
        </is>
      </c>
      <c r="L6" s="6" t="inlineStr">
        <is>
          <t>Egr. traslado a otro servicio</t>
        </is>
      </c>
      <c r="M6" s="6" t="inlineStr">
        <is>
          <t>Egr. fallecidos</t>
        </is>
      </c>
      <c r="N6" s="6" t="inlineStr">
        <is>
          <t>Total egresos</t>
        </is>
      </c>
      <c r="O6" s="6" t="inlineStr">
        <is>
          <t>Ingr.-egr. mismo dia</t>
        </is>
      </c>
      <c r="P6" s="6" t="inlineStr">
        <is>
          <t>Dias cama disponibles</t>
        </is>
      </c>
      <c r="Q6" s="6" t="inlineStr">
        <is>
          <t>Dias cama ocupadas</t>
        </is>
      </c>
      <c r="R6" s="6" t="inlineStr">
        <is>
          <t>Dias estada total</t>
        </is>
      </c>
      <c r="S6" s="6" t="inlineStr">
        <is>
          <t>Dias estada benef.</t>
        </is>
      </c>
      <c r="U6" s="5" t="inlineStr">
        <is>
          <t>Dias con total ingresos manualmente alterado</t>
        </is>
      </c>
      <c r="V6" s="4" t="inlineStr">
        <is>
          <t>0</t>
        </is>
      </c>
    </row>
    <row r="7" ht="20" customHeight="1">
      <c r="A7" s="4">
        <f>DATE(2026,1,1)</f>
        <v/>
      </c>
      <c r="B7" s="4" t="n">
        <v>1</v>
      </c>
      <c r="C7" s="3" t="n"/>
      <c r="D7" s="3" t="n"/>
      <c r="E7" s="3" t="n"/>
      <c r="F7" s="3" t="n"/>
      <c r="G7" s="3" t="n"/>
      <c r="H7" s="3" t="n"/>
      <c r="I7" s="3" t="n"/>
      <c r="J7" s="4">
        <f>SUM(D7:H7)+I7</f>
        <v/>
      </c>
      <c r="K7" s="3" t="n"/>
      <c r="L7" s="3" t="n"/>
      <c r="M7" s="3" t="n"/>
      <c r="N7" s="4">
        <f>SUM(K7:M7)</f>
        <v/>
      </c>
      <c r="O7" s="3" t="n"/>
      <c r="P7" s="3">
        <f>00_PARAMETROS!B5</f>
        <v/>
      </c>
      <c r="Q7" s="4">
        <f>C7+J7-N7</f>
        <v/>
      </c>
      <c r="R7" s="3" t="n"/>
      <c r="S7" s="3" t="n"/>
      <c r="U7" s="5" t="inlineStr">
        <is>
          <t>Dias con total egresos manualmente alterado</t>
        </is>
      </c>
      <c r="V7" s="4" t="inlineStr">
        <is>
          <t>0</t>
        </is>
      </c>
    </row>
    <row r="8" ht="20" customHeight="1">
      <c r="A8" s="4">
        <f>DATE(2026,1,2)</f>
        <v/>
      </c>
      <c r="B8" s="4" t="n">
        <v>2</v>
      </c>
      <c r="C8" s="4">
        <f>Q7</f>
        <v/>
      </c>
      <c r="D8" s="3" t="n"/>
      <c r="E8" s="3" t="n"/>
      <c r="F8" s="3" t="n"/>
      <c r="G8" s="3" t="n"/>
      <c r="H8" s="3" t="n"/>
      <c r="I8" s="3" t="n"/>
      <c r="J8" s="4">
        <f>SUM(D8:H8)+I8</f>
        <v/>
      </c>
      <c r="K8" s="3" t="n"/>
      <c r="L8" s="3" t="n"/>
      <c r="M8" s="3" t="n"/>
      <c r="N8" s="4">
        <f>SUM(K8:M8)</f>
        <v/>
      </c>
      <c r="O8" s="3" t="n"/>
      <c r="P8" s="3">
        <f>00_PARAMETROS!B5</f>
        <v/>
      </c>
      <c r="Q8" s="4">
        <f>C8+J8-N8</f>
        <v/>
      </c>
      <c r="R8" s="3" t="n"/>
      <c r="S8" s="3" t="n"/>
    </row>
    <row r="9" ht="20" customHeight="1">
      <c r="A9" s="4">
        <f>DATE(2026,1,3)</f>
        <v/>
      </c>
      <c r="B9" s="4" t="n">
        <v>3</v>
      </c>
      <c r="C9" s="4">
        <f>Q8</f>
        <v/>
      </c>
      <c r="D9" s="3" t="n"/>
      <c r="E9" s="3" t="n"/>
      <c r="F9" s="3" t="n"/>
      <c r="G9" s="3" t="n"/>
      <c r="H9" s="3" t="n"/>
      <c r="I9" s="3" t="n"/>
      <c r="J9" s="4">
        <f>SUM(D9:H9)+I9</f>
        <v/>
      </c>
      <c r="K9" s="3" t="n"/>
      <c r="L9" s="3" t="n"/>
      <c r="M9" s="3" t="n"/>
      <c r="N9" s="4">
        <f>SUM(K9:M9)</f>
        <v/>
      </c>
      <c r="O9" s="3" t="n"/>
      <c r="P9" s="3">
        <f>00_PARAMETROS!B5</f>
        <v/>
      </c>
      <c r="Q9" s="4">
        <f>C9+J9-N9</f>
        <v/>
      </c>
      <c r="R9" s="3" t="n"/>
      <c r="S9" s="3" t="n"/>
    </row>
    <row r="10" ht="20" customHeight="1">
      <c r="A10" s="4">
        <f>DATE(2026,1,4)</f>
        <v/>
      </c>
      <c r="B10" s="4" t="n">
        <v>4</v>
      </c>
      <c r="C10" s="4">
        <f>Q9</f>
        <v/>
      </c>
      <c r="D10" s="3" t="n"/>
      <c r="E10" s="3" t="n"/>
      <c r="F10" s="3" t="n"/>
      <c r="G10" s="3" t="n"/>
      <c r="H10" s="3" t="n"/>
      <c r="I10" s="3" t="n"/>
      <c r="J10" s="4">
        <f>SUM(D10:H10)+I10</f>
        <v/>
      </c>
      <c r="K10" s="3" t="n"/>
      <c r="L10" s="3" t="n"/>
      <c r="M10" s="3" t="n"/>
      <c r="N10" s="4">
        <f>SUM(K10:M10)</f>
        <v/>
      </c>
      <c r="O10" s="3" t="n"/>
      <c r="P10" s="3">
        <f>00_PARAMETROS!B5</f>
        <v/>
      </c>
      <c r="Q10" s="4">
        <f>C10+J10-N10</f>
        <v/>
      </c>
      <c r="R10" s="3" t="n"/>
      <c r="S10" s="3" t="n"/>
    </row>
    <row r="11" ht="20" customHeight="1">
      <c r="A11" s="4">
        <f>DATE(2026,1,5)</f>
        <v/>
      </c>
      <c r="B11" s="4" t="n">
        <v>5</v>
      </c>
      <c r="C11" s="4">
        <f>Q10</f>
        <v/>
      </c>
      <c r="D11" s="3" t="n"/>
      <c r="E11" s="3" t="n"/>
      <c r="F11" s="3" t="n"/>
      <c r="G11" s="3" t="n"/>
      <c r="H11" s="3" t="n"/>
      <c r="I11" s="3" t="n"/>
      <c r="J11" s="4">
        <f>SUM(D11:H11)+I11</f>
        <v/>
      </c>
      <c r="K11" s="3" t="n"/>
      <c r="L11" s="3" t="n"/>
      <c r="M11" s="3" t="n"/>
      <c r="N11" s="4">
        <f>SUM(K11:M11)</f>
        <v/>
      </c>
      <c r="O11" s="3" t="n"/>
      <c r="P11" s="3">
        <f>00_PARAMETROS!B5</f>
        <v/>
      </c>
      <c r="Q11" s="4">
        <f>C11+J11-N11</f>
        <v/>
      </c>
      <c r="R11" s="3" t="n"/>
      <c r="S11" s="3" t="n"/>
    </row>
    <row r="12" ht="20" customHeight="1">
      <c r="A12" s="4">
        <f>DATE(2026,1,6)</f>
        <v/>
      </c>
      <c r="B12" s="4" t="n">
        <v>6</v>
      </c>
      <c r="C12" s="4">
        <f>Q11</f>
        <v/>
      </c>
      <c r="D12" s="3" t="n"/>
      <c r="E12" s="3" t="n"/>
      <c r="F12" s="3" t="n"/>
      <c r="G12" s="3" t="n"/>
      <c r="H12" s="3" t="n"/>
      <c r="I12" s="3" t="n"/>
      <c r="J12" s="4">
        <f>SUM(D12:H12)+I12</f>
        <v/>
      </c>
      <c r="K12" s="3" t="n"/>
      <c r="L12" s="3" t="n"/>
      <c r="M12" s="3" t="n"/>
      <c r="N12" s="4">
        <f>SUM(K12:M12)</f>
        <v/>
      </c>
      <c r="O12" s="3" t="n"/>
      <c r="P12" s="3">
        <f>00_PARAMETROS!B5</f>
        <v/>
      </c>
      <c r="Q12" s="4">
        <f>C12+J12-N12</f>
        <v/>
      </c>
      <c r="R12" s="3" t="n"/>
      <c r="S12" s="3" t="n"/>
    </row>
    <row r="13" ht="20" customHeight="1">
      <c r="A13" s="4">
        <f>DATE(2026,1,7)</f>
        <v/>
      </c>
      <c r="B13" s="4" t="n">
        <v>7</v>
      </c>
      <c r="C13" s="4">
        <f>Q12</f>
        <v/>
      </c>
      <c r="D13" s="3" t="n"/>
      <c r="E13" s="3" t="n"/>
      <c r="F13" s="3" t="n"/>
      <c r="G13" s="3" t="n"/>
      <c r="H13" s="3" t="n"/>
      <c r="I13" s="3" t="n"/>
      <c r="J13" s="4">
        <f>SUM(D13:H13)+I13</f>
        <v/>
      </c>
      <c r="K13" s="3" t="n"/>
      <c r="L13" s="3" t="n"/>
      <c r="M13" s="3" t="n"/>
      <c r="N13" s="4">
        <f>SUM(K13:M13)</f>
        <v/>
      </c>
      <c r="O13" s="3" t="n"/>
      <c r="P13" s="3">
        <f>00_PARAMETROS!B5</f>
        <v/>
      </c>
      <c r="Q13" s="4">
        <f>C13+J13-N13</f>
        <v/>
      </c>
      <c r="R13" s="3" t="n"/>
      <c r="S13" s="3" t="n"/>
    </row>
    <row r="14" ht="20" customHeight="1">
      <c r="A14" s="4">
        <f>DATE(2026,1,8)</f>
        <v/>
      </c>
      <c r="B14" s="4" t="n">
        <v>8</v>
      </c>
      <c r="C14" s="4">
        <f>Q13</f>
        <v/>
      </c>
      <c r="D14" s="3" t="n"/>
      <c r="E14" s="3" t="n"/>
      <c r="F14" s="3" t="n"/>
      <c r="G14" s="3" t="n"/>
      <c r="H14" s="3" t="n"/>
      <c r="I14" s="3" t="n"/>
      <c r="J14" s="4">
        <f>SUM(D14:H14)+I14</f>
        <v/>
      </c>
      <c r="K14" s="3" t="n"/>
      <c r="L14" s="3" t="n"/>
      <c r="M14" s="3" t="n"/>
      <c r="N14" s="4">
        <f>SUM(K14:M14)</f>
        <v/>
      </c>
      <c r="O14" s="3" t="n"/>
      <c r="P14" s="3">
        <f>00_PARAMETROS!B5</f>
        <v/>
      </c>
      <c r="Q14" s="4">
        <f>C14+J14-N14</f>
        <v/>
      </c>
      <c r="R14" s="3" t="n"/>
      <c r="S14" s="3" t="n"/>
    </row>
    <row r="15" ht="20" customHeight="1">
      <c r="A15" s="4">
        <f>DATE(2026,1,9)</f>
        <v/>
      </c>
      <c r="B15" s="4" t="n">
        <v>9</v>
      </c>
      <c r="C15" s="4">
        <f>Q14</f>
        <v/>
      </c>
      <c r="D15" s="3" t="n"/>
      <c r="E15" s="3" t="n"/>
      <c r="F15" s="3" t="n"/>
      <c r="G15" s="3" t="n"/>
      <c r="H15" s="3" t="n"/>
      <c r="I15" s="3" t="n"/>
      <c r="J15" s="4">
        <f>SUM(D15:H15)+I15</f>
        <v/>
      </c>
      <c r="K15" s="3" t="n"/>
      <c r="L15" s="3" t="n"/>
      <c r="M15" s="3" t="n"/>
      <c r="N15" s="4">
        <f>SUM(K15:M15)</f>
        <v/>
      </c>
      <c r="O15" s="3" t="n"/>
      <c r="P15" s="3">
        <f>00_PARAMETROS!B5</f>
        <v/>
      </c>
      <c r="Q15" s="4">
        <f>C15+J15-N15</f>
        <v/>
      </c>
      <c r="R15" s="3" t="n"/>
      <c r="S15" s="3" t="n"/>
    </row>
    <row r="16" ht="20" customHeight="1">
      <c r="A16" s="4">
        <f>DATE(2026,1,10)</f>
        <v/>
      </c>
      <c r="B16" s="4" t="n">
        <v>10</v>
      </c>
      <c r="C16" s="4">
        <f>Q15</f>
        <v/>
      </c>
      <c r="D16" s="3" t="n"/>
      <c r="E16" s="3" t="n"/>
      <c r="F16" s="3" t="n"/>
      <c r="G16" s="3" t="n"/>
      <c r="H16" s="3" t="n"/>
      <c r="I16" s="3" t="n"/>
      <c r="J16" s="4">
        <f>SUM(D16:H16)+I16</f>
        <v/>
      </c>
      <c r="K16" s="3" t="n"/>
      <c r="L16" s="3" t="n"/>
      <c r="M16" s="3" t="n"/>
      <c r="N16" s="4">
        <f>SUM(K16:M16)</f>
        <v/>
      </c>
      <c r="O16" s="3" t="n"/>
      <c r="P16" s="3">
        <f>00_PARAMETROS!B5</f>
        <v/>
      </c>
      <c r="Q16" s="4">
        <f>C16+J16-N16</f>
        <v/>
      </c>
      <c r="R16" s="3" t="n"/>
      <c r="S16" s="3" t="n"/>
    </row>
    <row r="17" ht="20" customHeight="1">
      <c r="A17" s="4">
        <f>DATE(2026,1,11)</f>
        <v/>
      </c>
      <c r="B17" s="4" t="n">
        <v>11</v>
      </c>
      <c r="C17" s="4">
        <f>Q16</f>
        <v/>
      </c>
      <c r="D17" s="3" t="n"/>
      <c r="E17" s="3" t="n"/>
      <c r="F17" s="3" t="n"/>
      <c r="G17" s="3" t="n"/>
      <c r="H17" s="3" t="n"/>
      <c r="I17" s="3" t="n"/>
      <c r="J17" s="4">
        <f>SUM(D17:H17)+I17</f>
        <v/>
      </c>
      <c r="K17" s="3" t="n"/>
      <c r="L17" s="3" t="n"/>
      <c r="M17" s="3" t="n"/>
      <c r="N17" s="4">
        <f>SUM(K17:M17)</f>
        <v/>
      </c>
      <c r="O17" s="3" t="n"/>
      <c r="P17" s="3">
        <f>00_PARAMETROS!B5</f>
        <v/>
      </c>
      <c r="Q17" s="4">
        <f>C17+J17-N17</f>
        <v/>
      </c>
      <c r="R17" s="3" t="n"/>
      <c r="S17" s="3" t="n"/>
    </row>
    <row r="18" ht="20" customHeight="1">
      <c r="A18" s="4">
        <f>DATE(2026,1,12)</f>
        <v/>
      </c>
      <c r="B18" s="4" t="n">
        <v>12</v>
      </c>
      <c r="C18" s="4">
        <f>Q17</f>
        <v/>
      </c>
      <c r="D18" s="3" t="n"/>
      <c r="E18" s="3" t="n"/>
      <c r="F18" s="3" t="n"/>
      <c r="G18" s="3" t="n"/>
      <c r="H18" s="3" t="n"/>
      <c r="I18" s="3" t="n"/>
      <c r="J18" s="4">
        <f>SUM(D18:H18)+I18</f>
        <v/>
      </c>
      <c r="K18" s="3" t="n"/>
      <c r="L18" s="3" t="n"/>
      <c r="M18" s="3" t="n"/>
      <c r="N18" s="4">
        <f>SUM(K18:M18)</f>
        <v/>
      </c>
      <c r="O18" s="3" t="n"/>
      <c r="P18" s="3">
        <f>00_PARAMETROS!B5</f>
        <v/>
      </c>
      <c r="Q18" s="4">
        <f>C18+J18-N18</f>
        <v/>
      </c>
      <c r="R18" s="3" t="n"/>
      <c r="S18" s="3" t="n"/>
    </row>
    <row r="19" ht="20" customHeight="1">
      <c r="A19" s="4">
        <f>DATE(2026,1,13)</f>
        <v/>
      </c>
      <c r="B19" s="4" t="n">
        <v>13</v>
      </c>
      <c r="C19" s="4">
        <f>Q18</f>
        <v/>
      </c>
      <c r="D19" s="3" t="n"/>
      <c r="E19" s="3" t="n"/>
      <c r="F19" s="3" t="n"/>
      <c r="G19" s="3" t="n"/>
      <c r="H19" s="3" t="n"/>
      <c r="I19" s="3" t="n"/>
      <c r="J19" s="4">
        <f>SUM(D19:H19)+I19</f>
        <v/>
      </c>
      <c r="K19" s="3" t="n"/>
      <c r="L19" s="3" t="n"/>
      <c r="M19" s="3" t="n"/>
      <c r="N19" s="4">
        <f>SUM(K19:M19)</f>
        <v/>
      </c>
      <c r="O19" s="3" t="n"/>
      <c r="P19" s="3">
        <f>00_PARAMETROS!B5</f>
        <v/>
      </c>
      <c r="Q19" s="4">
        <f>C19+J19-N19</f>
        <v/>
      </c>
      <c r="R19" s="3" t="n"/>
      <c r="S19" s="3" t="n"/>
    </row>
    <row r="20" ht="20" customHeight="1">
      <c r="A20" s="4">
        <f>DATE(2026,1,14)</f>
        <v/>
      </c>
      <c r="B20" s="4" t="n">
        <v>14</v>
      </c>
      <c r="C20" s="4">
        <f>Q19</f>
        <v/>
      </c>
      <c r="D20" s="3" t="n"/>
      <c r="E20" s="3" t="n"/>
      <c r="F20" s="3" t="n"/>
      <c r="G20" s="3" t="n"/>
      <c r="H20" s="3" t="n"/>
      <c r="I20" s="3" t="n"/>
      <c r="J20" s="4">
        <f>SUM(D20:H20)+I20</f>
        <v/>
      </c>
      <c r="K20" s="3" t="n"/>
      <c r="L20" s="3" t="n"/>
      <c r="M20" s="3" t="n"/>
      <c r="N20" s="4">
        <f>SUM(K20:M20)</f>
        <v/>
      </c>
      <c r="O20" s="3" t="n"/>
      <c r="P20" s="3">
        <f>00_PARAMETROS!B5</f>
        <v/>
      </c>
      <c r="Q20" s="4">
        <f>C20+J20-N20</f>
        <v/>
      </c>
      <c r="R20" s="3" t="n"/>
      <c r="S20" s="3" t="n"/>
    </row>
    <row r="21" ht="20" customHeight="1">
      <c r="A21" s="4">
        <f>DATE(2026,1,15)</f>
        <v/>
      </c>
      <c r="B21" s="4" t="n">
        <v>15</v>
      </c>
      <c r="C21" s="4">
        <f>Q20</f>
        <v/>
      </c>
      <c r="D21" s="3" t="n"/>
      <c r="E21" s="3" t="n"/>
      <c r="F21" s="3" t="n"/>
      <c r="G21" s="3" t="n"/>
      <c r="H21" s="3" t="n"/>
      <c r="I21" s="3" t="n"/>
      <c r="J21" s="4">
        <f>SUM(D21:H21)+I21</f>
        <v/>
      </c>
      <c r="K21" s="3" t="n"/>
      <c r="L21" s="3" t="n"/>
      <c r="M21" s="3" t="n"/>
      <c r="N21" s="4">
        <f>SUM(K21:M21)</f>
        <v/>
      </c>
      <c r="O21" s="3" t="n"/>
      <c r="P21" s="3">
        <f>00_PARAMETROS!B5</f>
        <v/>
      </c>
      <c r="Q21" s="4">
        <f>C21+J21-N21</f>
        <v/>
      </c>
      <c r="R21" s="3" t="n"/>
      <c r="S21" s="3" t="n"/>
    </row>
    <row r="22" ht="20" customHeight="1">
      <c r="A22" s="4">
        <f>DATE(2026,1,16)</f>
        <v/>
      </c>
      <c r="B22" s="4" t="n">
        <v>16</v>
      </c>
      <c r="C22" s="4">
        <f>Q21</f>
        <v/>
      </c>
      <c r="D22" s="3" t="n"/>
      <c r="E22" s="3" t="n"/>
      <c r="F22" s="3" t="n"/>
      <c r="G22" s="3" t="n"/>
      <c r="H22" s="3" t="n"/>
      <c r="I22" s="3" t="n"/>
      <c r="J22" s="4">
        <f>SUM(D22:H22)+I22</f>
        <v/>
      </c>
      <c r="K22" s="3" t="n"/>
      <c r="L22" s="3" t="n"/>
      <c r="M22" s="3" t="n"/>
      <c r="N22" s="4">
        <f>SUM(K22:M22)</f>
        <v/>
      </c>
      <c r="O22" s="3" t="n"/>
      <c r="P22" s="3">
        <f>00_PARAMETROS!B5</f>
        <v/>
      </c>
      <c r="Q22" s="4">
        <f>C22+J22-N22</f>
        <v/>
      </c>
      <c r="R22" s="3" t="n"/>
      <c r="S22" s="3" t="n"/>
    </row>
    <row r="23" ht="20" customHeight="1">
      <c r="A23" s="4">
        <f>DATE(2026,1,17)</f>
        <v/>
      </c>
      <c r="B23" s="4" t="n">
        <v>17</v>
      </c>
      <c r="C23" s="4">
        <f>Q22</f>
        <v/>
      </c>
      <c r="D23" s="3" t="n"/>
      <c r="E23" s="3" t="n"/>
      <c r="F23" s="3" t="n"/>
      <c r="G23" s="3" t="n"/>
      <c r="H23" s="3" t="n"/>
      <c r="I23" s="3" t="n"/>
      <c r="J23" s="4">
        <f>SUM(D23:H23)+I23</f>
        <v/>
      </c>
      <c r="K23" s="3" t="n"/>
      <c r="L23" s="3" t="n"/>
      <c r="M23" s="3" t="n"/>
      <c r="N23" s="4">
        <f>SUM(K23:M23)</f>
        <v/>
      </c>
      <c r="O23" s="3" t="n"/>
      <c r="P23" s="3">
        <f>00_PARAMETROS!B5</f>
        <v/>
      </c>
      <c r="Q23" s="4">
        <f>C23+J23-N23</f>
        <v/>
      </c>
      <c r="R23" s="3" t="n"/>
      <c r="S23" s="3" t="n"/>
    </row>
    <row r="24" ht="20" customHeight="1">
      <c r="A24" s="4">
        <f>DATE(2026,1,18)</f>
        <v/>
      </c>
      <c r="B24" s="4" t="n">
        <v>18</v>
      </c>
      <c r="C24" s="4">
        <f>Q23</f>
        <v/>
      </c>
      <c r="D24" s="3" t="n"/>
      <c r="E24" s="3" t="n"/>
      <c r="F24" s="3" t="n"/>
      <c r="G24" s="3" t="n"/>
      <c r="H24" s="3" t="n"/>
      <c r="I24" s="3" t="n"/>
      <c r="J24" s="4">
        <f>SUM(D24:H24)+I24</f>
        <v/>
      </c>
      <c r="K24" s="3" t="n"/>
      <c r="L24" s="3" t="n"/>
      <c r="M24" s="3" t="n"/>
      <c r="N24" s="4">
        <f>SUM(K24:M24)</f>
        <v/>
      </c>
      <c r="O24" s="3" t="n"/>
      <c r="P24" s="3">
        <f>00_PARAMETROS!B5</f>
        <v/>
      </c>
      <c r="Q24" s="4">
        <f>C24+J24-N24</f>
        <v/>
      </c>
      <c r="R24" s="3" t="n"/>
      <c r="S24" s="3" t="n"/>
    </row>
    <row r="25" ht="20" customHeight="1">
      <c r="A25" s="4">
        <f>DATE(2026,1,19)</f>
        <v/>
      </c>
      <c r="B25" s="4" t="n">
        <v>19</v>
      </c>
      <c r="C25" s="4">
        <f>Q24</f>
        <v/>
      </c>
      <c r="D25" s="3" t="n"/>
      <c r="E25" s="3" t="n"/>
      <c r="F25" s="3" t="n"/>
      <c r="G25" s="3" t="n"/>
      <c r="H25" s="3" t="n"/>
      <c r="I25" s="3" t="n"/>
      <c r="J25" s="4">
        <f>SUM(D25:H25)+I25</f>
        <v/>
      </c>
      <c r="K25" s="3" t="n"/>
      <c r="L25" s="3" t="n"/>
      <c r="M25" s="3" t="n"/>
      <c r="N25" s="4">
        <f>SUM(K25:M25)</f>
        <v/>
      </c>
      <c r="O25" s="3" t="n"/>
      <c r="P25" s="3">
        <f>00_PARAMETROS!B5</f>
        <v/>
      </c>
      <c r="Q25" s="4">
        <f>C25+J25-N25</f>
        <v/>
      </c>
      <c r="R25" s="3" t="n"/>
      <c r="S25" s="3" t="n"/>
    </row>
    <row r="26" ht="20" customHeight="1">
      <c r="A26" s="4">
        <f>DATE(2026,1,20)</f>
        <v/>
      </c>
      <c r="B26" s="4" t="n">
        <v>20</v>
      </c>
      <c r="C26" s="4">
        <f>Q25</f>
        <v/>
      </c>
      <c r="D26" s="3" t="n"/>
      <c r="E26" s="3" t="n"/>
      <c r="F26" s="3" t="n"/>
      <c r="G26" s="3" t="n"/>
      <c r="H26" s="3" t="n"/>
      <c r="I26" s="3" t="n"/>
      <c r="J26" s="4">
        <f>SUM(D26:H26)+I26</f>
        <v/>
      </c>
      <c r="K26" s="3" t="n"/>
      <c r="L26" s="3" t="n"/>
      <c r="M26" s="3" t="n"/>
      <c r="N26" s="4">
        <f>SUM(K26:M26)</f>
        <v/>
      </c>
      <c r="O26" s="3" t="n"/>
      <c r="P26" s="3">
        <f>00_PARAMETROS!B5</f>
        <v/>
      </c>
      <c r="Q26" s="4">
        <f>C26+J26-N26</f>
        <v/>
      </c>
      <c r="R26" s="3" t="n"/>
      <c r="S26" s="3" t="n"/>
    </row>
    <row r="27" ht="20" customHeight="1">
      <c r="A27" s="4">
        <f>DATE(2026,1,21)</f>
        <v/>
      </c>
      <c r="B27" s="4" t="n">
        <v>21</v>
      </c>
      <c r="C27" s="4">
        <f>Q26</f>
        <v/>
      </c>
      <c r="D27" s="3" t="n"/>
      <c r="E27" s="3" t="n"/>
      <c r="F27" s="3" t="n"/>
      <c r="G27" s="3" t="n"/>
      <c r="H27" s="3" t="n"/>
      <c r="I27" s="3" t="n"/>
      <c r="J27" s="4">
        <f>SUM(D27:H27)+I27</f>
        <v/>
      </c>
      <c r="K27" s="3" t="n"/>
      <c r="L27" s="3" t="n"/>
      <c r="M27" s="3" t="n"/>
      <c r="N27" s="4">
        <f>SUM(K27:M27)</f>
        <v/>
      </c>
      <c r="O27" s="3" t="n"/>
      <c r="P27" s="3">
        <f>00_PARAMETROS!B5</f>
        <v/>
      </c>
      <c r="Q27" s="4">
        <f>C27+J27-N27</f>
        <v/>
      </c>
      <c r="R27" s="3" t="n"/>
      <c r="S27" s="3" t="n"/>
    </row>
    <row r="28" ht="20" customHeight="1">
      <c r="A28" s="4">
        <f>DATE(2026,1,22)</f>
        <v/>
      </c>
      <c r="B28" s="4" t="n">
        <v>22</v>
      </c>
      <c r="C28" s="4">
        <f>Q27</f>
        <v/>
      </c>
      <c r="D28" s="3" t="n"/>
      <c r="E28" s="3" t="n"/>
      <c r="F28" s="3" t="n"/>
      <c r="G28" s="3" t="n"/>
      <c r="H28" s="3" t="n"/>
      <c r="I28" s="3" t="n"/>
      <c r="J28" s="4">
        <f>SUM(D28:H28)+I28</f>
        <v/>
      </c>
      <c r="K28" s="3" t="n"/>
      <c r="L28" s="3" t="n"/>
      <c r="M28" s="3" t="n"/>
      <c r="N28" s="4">
        <f>SUM(K28:M28)</f>
        <v/>
      </c>
      <c r="O28" s="3" t="n"/>
      <c r="P28" s="3">
        <f>00_PARAMETROS!B5</f>
        <v/>
      </c>
      <c r="Q28" s="4">
        <f>C28+J28-N28</f>
        <v/>
      </c>
      <c r="R28" s="3" t="n"/>
      <c r="S28" s="3" t="n"/>
    </row>
    <row r="29" ht="20" customHeight="1">
      <c r="A29" s="4">
        <f>DATE(2026,1,23)</f>
        <v/>
      </c>
      <c r="B29" s="4" t="n">
        <v>23</v>
      </c>
      <c r="C29" s="4">
        <f>Q28</f>
        <v/>
      </c>
      <c r="D29" s="3" t="n"/>
      <c r="E29" s="3" t="n"/>
      <c r="F29" s="3" t="n"/>
      <c r="G29" s="3" t="n"/>
      <c r="H29" s="3" t="n"/>
      <c r="I29" s="3" t="n"/>
      <c r="J29" s="4">
        <f>SUM(D29:H29)+I29</f>
        <v/>
      </c>
      <c r="K29" s="3" t="n"/>
      <c r="L29" s="3" t="n"/>
      <c r="M29" s="3" t="n"/>
      <c r="N29" s="4">
        <f>SUM(K29:M29)</f>
        <v/>
      </c>
      <c r="O29" s="3" t="n"/>
      <c r="P29" s="3">
        <f>00_PARAMETROS!B5</f>
        <v/>
      </c>
      <c r="Q29" s="4">
        <f>C29+J29-N29</f>
        <v/>
      </c>
      <c r="R29" s="3" t="n"/>
      <c r="S29" s="3" t="n"/>
    </row>
    <row r="30" ht="20" customHeight="1">
      <c r="A30" s="4">
        <f>DATE(2026,1,24)</f>
        <v/>
      </c>
      <c r="B30" s="4" t="n">
        <v>24</v>
      </c>
      <c r="C30" s="4">
        <f>Q29</f>
        <v/>
      </c>
      <c r="D30" s="3" t="n"/>
      <c r="E30" s="3" t="n"/>
      <c r="F30" s="3" t="n"/>
      <c r="G30" s="3" t="n"/>
      <c r="H30" s="3" t="n"/>
      <c r="I30" s="3" t="n"/>
      <c r="J30" s="4">
        <f>SUM(D30:H30)+I30</f>
        <v/>
      </c>
      <c r="K30" s="3" t="n"/>
      <c r="L30" s="3" t="n"/>
      <c r="M30" s="3" t="n"/>
      <c r="N30" s="4">
        <f>SUM(K30:M30)</f>
        <v/>
      </c>
      <c r="O30" s="3" t="n"/>
      <c r="P30" s="3">
        <f>00_PARAMETROS!B5</f>
        <v/>
      </c>
      <c r="Q30" s="4">
        <f>C30+J30-N30</f>
        <v/>
      </c>
      <c r="R30" s="3" t="n"/>
      <c r="S30" s="3" t="n"/>
    </row>
    <row r="31" ht="20" customHeight="1">
      <c r="A31" s="4">
        <f>DATE(2026,1,25)</f>
        <v/>
      </c>
      <c r="B31" s="4" t="n">
        <v>25</v>
      </c>
      <c r="C31" s="4">
        <f>Q30</f>
        <v/>
      </c>
      <c r="D31" s="3" t="n"/>
      <c r="E31" s="3" t="n"/>
      <c r="F31" s="3" t="n"/>
      <c r="G31" s="3" t="n"/>
      <c r="H31" s="3" t="n"/>
      <c r="I31" s="3" t="n"/>
      <c r="J31" s="4">
        <f>SUM(D31:H31)+I31</f>
        <v/>
      </c>
      <c r="K31" s="3" t="n"/>
      <c r="L31" s="3" t="n"/>
      <c r="M31" s="3" t="n"/>
      <c r="N31" s="4">
        <f>SUM(K31:M31)</f>
        <v/>
      </c>
      <c r="O31" s="3" t="n"/>
      <c r="P31" s="3">
        <f>00_PARAMETROS!B5</f>
        <v/>
      </c>
      <c r="Q31" s="4">
        <f>C31+J31-N31</f>
        <v/>
      </c>
      <c r="R31" s="3" t="n"/>
      <c r="S31" s="3" t="n"/>
    </row>
    <row r="32" ht="20" customHeight="1">
      <c r="A32" s="4">
        <f>DATE(2026,1,26)</f>
        <v/>
      </c>
      <c r="B32" s="4" t="n">
        <v>26</v>
      </c>
      <c r="C32" s="4">
        <f>Q31</f>
        <v/>
      </c>
      <c r="D32" s="3" t="n"/>
      <c r="E32" s="3" t="n"/>
      <c r="F32" s="3" t="n"/>
      <c r="G32" s="3" t="n"/>
      <c r="H32" s="3" t="n"/>
      <c r="I32" s="3" t="n"/>
      <c r="J32" s="4">
        <f>SUM(D32:H32)+I32</f>
        <v/>
      </c>
      <c r="K32" s="3" t="n"/>
      <c r="L32" s="3" t="n"/>
      <c r="M32" s="3" t="n"/>
      <c r="N32" s="4">
        <f>SUM(K32:M32)</f>
        <v/>
      </c>
      <c r="O32" s="3" t="n"/>
      <c r="P32" s="3">
        <f>00_PARAMETROS!B5</f>
        <v/>
      </c>
      <c r="Q32" s="4">
        <f>C32+J32-N32</f>
        <v/>
      </c>
      <c r="R32" s="3" t="n"/>
      <c r="S32" s="3" t="n"/>
    </row>
    <row r="33" ht="20" customHeight="1">
      <c r="A33" s="4">
        <f>DATE(2026,1,27)</f>
        <v/>
      </c>
      <c r="B33" s="4" t="n">
        <v>27</v>
      </c>
      <c r="C33" s="4">
        <f>Q32</f>
        <v/>
      </c>
      <c r="D33" s="3" t="n"/>
      <c r="E33" s="3" t="n"/>
      <c r="F33" s="3" t="n"/>
      <c r="G33" s="3" t="n"/>
      <c r="H33" s="3" t="n"/>
      <c r="I33" s="3" t="n"/>
      <c r="J33" s="4">
        <f>SUM(D33:H33)+I33</f>
        <v/>
      </c>
      <c r="K33" s="3" t="n"/>
      <c r="L33" s="3" t="n"/>
      <c r="M33" s="3" t="n"/>
      <c r="N33" s="4">
        <f>SUM(K33:M33)</f>
        <v/>
      </c>
      <c r="O33" s="3" t="n"/>
      <c r="P33" s="3">
        <f>00_PARAMETROS!B5</f>
        <v/>
      </c>
      <c r="Q33" s="4">
        <f>C33+J33-N33</f>
        <v/>
      </c>
      <c r="R33" s="3" t="n"/>
      <c r="S33" s="3" t="n"/>
    </row>
    <row r="34" ht="20" customHeight="1">
      <c r="A34" s="4">
        <f>DATE(2026,1,28)</f>
        <v/>
      </c>
      <c r="B34" s="4" t="n">
        <v>28</v>
      </c>
      <c r="C34" s="4">
        <f>Q33</f>
        <v/>
      </c>
      <c r="D34" s="3" t="n"/>
      <c r="E34" s="3" t="n"/>
      <c r="F34" s="3" t="n"/>
      <c r="G34" s="3" t="n"/>
      <c r="H34" s="3" t="n"/>
      <c r="I34" s="3" t="n"/>
      <c r="J34" s="4">
        <f>SUM(D34:H34)+I34</f>
        <v/>
      </c>
      <c r="K34" s="3" t="n"/>
      <c r="L34" s="3" t="n"/>
      <c r="M34" s="3" t="n"/>
      <c r="N34" s="4">
        <f>SUM(K34:M34)</f>
        <v/>
      </c>
      <c r="O34" s="3" t="n"/>
      <c r="P34" s="3">
        <f>00_PARAMETROS!B5</f>
        <v/>
      </c>
      <c r="Q34" s="4">
        <f>C34+J34-N34</f>
        <v/>
      </c>
      <c r="R34" s="3" t="n"/>
      <c r="S34" s="3" t="n"/>
    </row>
    <row r="35" ht="20" customHeight="1">
      <c r="A35" s="4">
        <f>DATE(2026,1,29)</f>
        <v/>
      </c>
      <c r="B35" s="4" t="n">
        <v>29</v>
      </c>
      <c r="C35" s="4">
        <f>Q34</f>
        <v/>
      </c>
      <c r="D35" s="3" t="n"/>
      <c r="E35" s="3" t="n"/>
      <c r="F35" s="3" t="n"/>
      <c r="G35" s="3" t="n"/>
      <c r="H35" s="3" t="n"/>
      <c r="I35" s="3" t="n"/>
      <c r="J35" s="4">
        <f>SUM(D35:H35)+I35</f>
        <v/>
      </c>
      <c r="K35" s="3" t="n"/>
      <c r="L35" s="3" t="n"/>
      <c r="M35" s="3" t="n"/>
      <c r="N35" s="4">
        <f>SUM(K35:M35)</f>
        <v/>
      </c>
      <c r="O35" s="3" t="n"/>
      <c r="P35" s="3">
        <f>00_PARAMETROS!B5</f>
        <v/>
      </c>
      <c r="Q35" s="4">
        <f>C35+J35-N35</f>
        <v/>
      </c>
      <c r="R35" s="3" t="n"/>
      <c r="S35" s="3" t="n"/>
    </row>
    <row r="36" ht="20" customHeight="1">
      <c r="A36" s="4">
        <f>DATE(2026,1,30)</f>
        <v/>
      </c>
      <c r="B36" s="4" t="n">
        <v>30</v>
      </c>
      <c r="C36" s="4">
        <f>Q35</f>
        <v/>
      </c>
      <c r="D36" s="3" t="n"/>
      <c r="E36" s="3" t="n"/>
      <c r="F36" s="3" t="n"/>
      <c r="G36" s="3" t="n"/>
      <c r="H36" s="3" t="n"/>
      <c r="I36" s="3" t="n"/>
      <c r="J36" s="4">
        <f>SUM(D36:H36)+I36</f>
        <v/>
      </c>
      <c r="K36" s="3" t="n"/>
      <c r="L36" s="3" t="n"/>
      <c r="M36" s="3" t="n"/>
      <c r="N36" s="4">
        <f>SUM(K36:M36)</f>
        <v/>
      </c>
      <c r="O36" s="3" t="n"/>
      <c r="P36" s="3">
        <f>00_PARAMETROS!B5</f>
        <v/>
      </c>
      <c r="Q36" s="4">
        <f>C36+J36-N36</f>
        <v/>
      </c>
      <c r="R36" s="3" t="n"/>
      <c r="S36" s="3" t="n"/>
    </row>
    <row r="37" ht="20" customHeight="1">
      <c r="A37" s="4">
        <f>DATE(2026,1,31)</f>
        <v/>
      </c>
      <c r="B37" s="4" t="n">
        <v>31</v>
      </c>
      <c r="C37" s="4">
        <f>Q36</f>
        <v/>
      </c>
      <c r="D37" s="3" t="n"/>
      <c r="E37" s="3" t="n"/>
      <c r="F37" s="3" t="n"/>
      <c r="G37" s="3" t="n"/>
      <c r="H37" s="3" t="n"/>
      <c r="I37" s="3" t="n"/>
      <c r="J37" s="4">
        <f>SUM(D37:H37)+I37</f>
        <v/>
      </c>
      <c r="K37" s="3" t="n"/>
      <c r="L37" s="3" t="n"/>
      <c r="M37" s="3" t="n"/>
      <c r="N37" s="4">
        <f>SUM(K37:M37)</f>
        <v/>
      </c>
      <c r="O37" s="3" t="n"/>
      <c r="P37" s="3">
        <f>00_PARAMETROS!B5</f>
        <v/>
      </c>
      <c r="Q37" s="4">
        <f>C37+J37-N37</f>
        <v/>
      </c>
      <c r="R37" s="3" t="n"/>
      <c r="S37" s="3" t="n"/>
    </row>
    <row r="38" ht="20" customHeight="1">
      <c r="A38" s="2" t="inlineStr">
        <is>
          <t>TOTAL</t>
        </is>
      </c>
      <c r="B38" s="7" t="n"/>
      <c r="C38" s="7" t="n"/>
      <c r="D38" s="8">
        <f>SUM(D7:D37)</f>
        <v/>
      </c>
      <c r="E38" s="8">
        <f>SUM(E7:E37)</f>
        <v/>
      </c>
      <c r="F38" s="8">
        <f>SUM(F7:F37)</f>
        <v/>
      </c>
      <c r="G38" s="8">
        <f>SUM(G7:G37)</f>
        <v/>
      </c>
      <c r="H38" s="8">
        <f>SUM(H7:H37)</f>
        <v/>
      </c>
      <c r="I38" s="8">
        <f>SUM(I7:I37)</f>
        <v/>
      </c>
      <c r="J38" s="8">
        <f>SUM(J7:J37)</f>
        <v/>
      </c>
      <c r="K38" s="8">
        <f>SUM(K7:K37)</f>
        <v/>
      </c>
      <c r="L38" s="8">
        <f>SUM(L7:L37)</f>
        <v/>
      </c>
      <c r="M38" s="8">
        <f>SUM(M7:M37)</f>
        <v/>
      </c>
      <c r="N38" s="8">
        <f>SUM(N7:N37)</f>
        <v/>
      </c>
      <c r="O38" s="8">
        <f>SUM(O7:O37)</f>
        <v/>
      </c>
      <c r="P38" s="8">
        <f>SUM(P7:P37)</f>
        <v/>
      </c>
      <c r="Q38" s="8">
        <f>SUM(Q7:Q37)</f>
        <v/>
      </c>
      <c r="R38" s="8">
        <f>SUM(R7:R37)</f>
        <v/>
      </c>
      <c r="S38" s="8">
        <f>SUM(S7:S37)</f>
        <v/>
      </c>
    </row>
    <row r="39" ht="20" customHeight="1"/>
    <row r="40" ht="20" customHeight="1"/>
    <row r="41" ht="20" customHeight="1">
      <c r="A41" s="2" t="inlineStr">
        <is>
          <t>RESUMEN DEL MES</t>
        </is>
      </c>
      <c r="B41" s="9" t="n"/>
      <c r="C41" s="9" t="n"/>
      <c r="D41" s="10" t="n"/>
    </row>
    <row r="42" ht="20" customHeight="1">
      <c r="A42" s="11" t="inlineStr">
        <is>
          <t>Ingresos</t>
        </is>
      </c>
      <c r="B42" s="4">
        <f>J38</f>
        <v/>
      </c>
    </row>
    <row r="43" ht="20" customHeight="1">
      <c r="A43" s="11" t="inlineStr">
        <is>
          <t>Altas al hogar / otro hosp.</t>
        </is>
      </c>
      <c r="B43" s="4">
        <f>K38</f>
        <v/>
      </c>
    </row>
    <row r="44" ht="20" customHeight="1">
      <c r="A44" s="11" t="inlineStr">
        <is>
          <t>Traslados a otro servicio</t>
        </is>
      </c>
      <c r="B44" s="4">
        <f>L38</f>
        <v/>
      </c>
    </row>
    <row r="45" ht="20" customHeight="1">
      <c r="A45" s="11" t="inlineStr">
        <is>
          <t>Fallecidos</t>
        </is>
      </c>
      <c r="B45" s="4">
        <f>M38</f>
        <v/>
      </c>
    </row>
    <row r="46" ht="20" customHeight="1">
      <c r="A46" s="11" t="inlineStr">
        <is>
          <t>Total egresos</t>
        </is>
      </c>
      <c r="B46" s="4">
        <f>N38</f>
        <v/>
      </c>
    </row>
    <row r="47" ht="20" customHeight="1">
      <c r="A47" s="11" t="inlineStr">
        <is>
          <t>Pacientes atendidos del mes</t>
        </is>
      </c>
      <c r="B47" s="4">
        <f>C7+J38</f>
        <v/>
      </c>
    </row>
    <row r="48" ht="20" customHeight="1">
      <c r="A48" s="11" t="inlineStr">
        <is>
          <t>Dias personas atendidas</t>
        </is>
      </c>
      <c r="B48" s="4">
        <f>R38</f>
        <v/>
      </c>
    </row>
    <row r="49" ht="20" customHeight="1">
      <c r="A49" s="11" t="inlineStr">
        <is>
          <t>Indice ocupacional %</t>
        </is>
      </c>
      <c r="B49" s="12">
        <f>IFERROR(Q38/P38,"")</f>
        <v/>
      </c>
    </row>
    <row r="50" ht="20" customHeight="1">
      <c r="A50" s="11" t="inlineStr">
        <is>
          <t>Promedio dia de estada</t>
        </is>
      </c>
      <c r="B50" s="13">
        <f>IFERROR(R38/N38,"")</f>
        <v/>
      </c>
    </row>
  </sheetData>
  <sheetProtection selectLockedCells="1" selectUnlockedCells="1" sheet="1" objects="0" insertRows="1" insertHyperlinks="1" autoFilter="1" scenarios="0" formatColumns="1" deleteColumns="1" insertColumns="1" pivotTables="1" deleteRows="1" formatCells="1" formatRows="1" sort="1" password="C752"/>
  <mergeCells count="3">
    <mergeCell ref="U1:W1"/>
    <mergeCell ref="A41:D41"/>
    <mergeCell ref="A1:S1"/>
  </mergeCells>
  <dataValidations count="1">
    <dataValidation sqref="D7 D8 D9 D10 D11 D12 D13 D14 D15 D16 D17 D18 D19 D20 D21 D22 D23 D24 D25 D26 D27 D28 D29 D30 D31 D32 D33 D34 D35 D36 D37 E7 E8 E9 E10 E11 E12 E13 E14 E15 E16 E17 E18 E19 E20 E21 E22 E23 E24 E25 E26 E27 E28 E29 E30 E31 E32 E33 E34 E35 E36 E37 F7 F8 F9 F10 F11 F12 F13 F14 F15 F16 F17 F18 F19 F20 F21 F22 F23 F24 F25 F26 F27 F28 F29 F30 F31 F32 F33 F34 F35 F36 F37 G7 G8 G9 G10 G11 G12 G13 G14 G15 G16 G17 G18 G19 G20 G21 G22 G23 G24 G25 G26 G27 G28 G29 G30 G31 G32 G33 G34 G35 G36 G37 H7 H8 H9 H10 H11 H12 H13 H14 H15 H16 H17 H18 H19 H20 H21 H22 H23 H24 H25 H26 H27 H28 H29 H30 H31 H32 H33 H34 H35 H36 H37 I7 I8 I9 I10 I11 I12 I13 I14 I15 I16 I17 I18 I19 I20 I21 I22 I23 I24 I25 I26 I27 I28 I29 I30 I31 I32 I33 I34 I35 I36 I37 K7 K8 K9 K10 K11 K12 K13 K14 K15 K16 K17 K18 K19 K20 K21 K22 K23 K24 K25 K26 K27 K28 K29 K30 K31 K32 K33 K34 K35 K36 K37 L7 L8 L9 L10 L11 L12 L13 L14 L15 L16 L17 L18 L19 L20 L21 L22 L23 L24 L25 L26 L27 L28 L29 L30 L31 L32 L33 L34 L35 L36 L37 M7 M8 M9 M10 M11 M12 M13 M14 M15 M16 M17 M18 M19 M20 M21 M22 M23 M24 M25 M26 M27 M28 M29 M30 M31 M32 M33 M34 M35 M36 M37 O7 O8 O9 O10 O11 O12 O13 O14 O15 O16 O17 O18 O19 O20 O21 O22 O23 O24 O25 O26 O27 O28 O29 O30 O31 O32 O33 O34 O35 O36 O37 P7 P8 P9 P10 P11 P12 P13 P14 P15 P16 P17 P18 P19 P20 P21 P22 P23 P24 P25 P26 P27 P28 P29 P30 P31 P32 P33 P34 P35 P36 P37 R7 R8 R9 R10 R11 R12 R13 R14 R15 R16 R17 R18 R19 R20 R21 R22 R23 R24 R25 R26 R27 R28 R29 R30 R31 R32 R33 R34 R35 R36 R37 S7 S8 S9 S10 S11 S12 S13 S14 S15 S16 S17 S18 S19 S20 S21 S22 S23 S24 S25 S26 S27 S28 S29 S30 S31 S32 S33 S34 S35 S36 S37" showDropDown="0" showInputMessage="0" showErrorMessage="0" allowBlank="1" prompt="Ingresa un numero entero mayor o igual a 0." type="whole" operator="greaterThanOrEqual">
      <formula1>0</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W47"/>
  <sheetViews>
    <sheetView showGridLines="1" workbookViewId="0">
      <pane ySplit="6" topLeftCell="A7" activePane="bottomLeft" state="frozen"/>
      <selection pane="bottomLeft" activeCell="A1" sqref="A1"/>
    </sheetView>
  </sheetViews>
  <sheetFormatPr baseColWidth="8" defaultRowHeight="15"/>
  <cols>
    <col width="13" customWidth="1" min="1" max="1"/>
    <col width="7" customWidth="1" min="2" max="2"/>
    <col width="20" customWidth="1" min="3" max="3"/>
    <col width="13" customWidth="1" min="4" max="4"/>
    <col width="18" customWidth="1" min="5" max="5"/>
    <col width="15" customWidth="1" min="6" max="6"/>
    <col width="16" customWidth="1" min="7" max="7"/>
    <col width="10" customWidth="1" min="8" max="8"/>
    <col width="15" customWidth="1" min="9" max="9"/>
    <col width="13" customWidth="1" min="10" max="10"/>
    <col width="20" customWidth="1" min="11" max="11"/>
    <col width="22" customWidth="1" min="12" max="12"/>
    <col width="14" customWidth="1" min="13" max="13"/>
    <col width="13" customWidth="1" min="14" max="14"/>
    <col width="18" customWidth="1" min="15" max="15"/>
    <col width="18" customWidth="1" min="16" max="16"/>
    <col width="17" customWidth="1" min="17" max="17"/>
    <col width="16" customWidth="1" min="18" max="18"/>
    <col width="16" customWidth="1" min="19" max="19"/>
    <col width="34" customWidth="1" min="21" max="21"/>
    <col width="12" customWidth="1" min="22" max="22"/>
  </cols>
  <sheetData>
    <row r="1" ht="20" customHeight="1">
      <c r="A1" s="1" t="inlineStr">
        <is>
          <t>RESUMEN MENSUAL HODOM</t>
        </is>
      </c>
      <c r="U1" s="1" t="inlineStr">
        <is>
          <t>CONTROL</t>
        </is>
      </c>
    </row>
    <row r="2" ht="20" customHeight="1">
      <c r="A2" s="2" t="inlineStr">
        <is>
          <t>Servicio</t>
        </is>
      </c>
      <c r="B2" s="4">
        <f>00_PARAMETROS!B3</f>
        <v/>
      </c>
      <c r="C2" s="2" t="inlineStr">
        <is>
          <t>Codigo</t>
        </is>
      </c>
      <c r="D2" s="4">
        <f>00_PARAMETROS!B4</f>
        <v/>
      </c>
      <c r="E2" s="2" t="inlineStr">
        <is>
          <t>Mes</t>
        </is>
      </c>
      <c r="F2" s="3" t="inlineStr">
        <is>
          <t>FEBRERO</t>
        </is>
      </c>
      <c r="G2" s="2" t="inlineStr">
        <is>
          <t>Ano</t>
        </is>
      </c>
      <c r="H2" s="3" t="n">
        <v>2026</v>
      </c>
    </row>
    <row r="3" ht="20" customHeight="1">
      <c r="A3" s="2" t="inlineStr">
        <is>
          <t>Camas base</t>
        </is>
      </c>
      <c r="B3" s="4">
        <f>00_PARAMETROS!B5</f>
        <v/>
      </c>
      <c r="C3" s="2" t="inlineStr">
        <is>
          <t>Promedio camas</t>
        </is>
      </c>
      <c r="D3" s="4">
        <f>AVERAGE(P7:P34)</f>
        <v/>
      </c>
      <c r="E3" s="2" t="inlineStr">
        <is>
          <t>Dias del mes</t>
        </is>
      </c>
      <c r="F3" s="3" t="n">
        <v>28</v>
      </c>
      <c r="U3" s="5" t="inlineStr">
        <is>
          <t>Dias con ocupacion negativa</t>
        </is>
      </c>
      <c r="V3" s="4">
        <f>COUNTIF(Q7:Q34,"&lt;0")</f>
        <v/>
      </c>
    </row>
    <row r="4" ht="20" customHeight="1">
      <c r="U4" s="5" t="inlineStr">
        <is>
          <t>Dias sin camas disponibles</t>
        </is>
      </c>
      <c r="V4" s="4">
        <f>COUNTBLANK(P7:P34)</f>
        <v/>
      </c>
    </row>
    <row r="5" ht="20" customHeight="1">
      <c r="U5" s="5" t="inlineStr">
        <is>
          <t>Primer dia sin existencia inicial</t>
        </is>
      </c>
      <c r="V5" s="4">
        <f>IF(C7="",1,0)</f>
        <v/>
      </c>
    </row>
    <row r="6" ht="36" customHeight="1">
      <c r="A6" s="6" t="inlineStr">
        <is>
          <t>Fecha</t>
        </is>
      </c>
      <c r="B6" s="6" t="inlineStr">
        <is>
          <t>Dia</t>
        </is>
      </c>
      <c r="C6" s="6" t="inlineStr">
        <is>
          <t>Existencia dia anterior</t>
        </is>
      </c>
      <c r="D6" s="6" t="inlineStr">
        <is>
          <t>Ing. urgencia</t>
        </is>
      </c>
      <c r="E6" s="6" t="inlineStr">
        <is>
          <t>Ing. hospitalizacion</t>
        </is>
      </c>
      <c r="F6" s="6" t="inlineStr">
        <is>
          <t>Ing. ambulatorio</t>
        </is>
      </c>
      <c r="G6" s="6" t="inlineStr">
        <is>
          <t>Ing. ley urgencia</t>
        </is>
      </c>
      <c r="H6" s="6" t="inlineStr">
        <is>
          <t>Ing. UGCC</t>
        </is>
      </c>
      <c r="I6" s="6" t="inlineStr">
        <is>
          <t>Ing. por traslado</t>
        </is>
      </c>
      <c r="J6" s="6" t="inlineStr">
        <is>
          <t>Total ingresos</t>
        </is>
      </c>
      <c r="K6" s="6" t="inlineStr">
        <is>
          <t>Egr. alta hogar / otro hosp.</t>
        </is>
      </c>
      <c r="L6" s="6" t="inlineStr">
        <is>
          <t>Egr. traslado a otro servicio</t>
        </is>
      </c>
      <c r="M6" s="6" t="inlineStr">
        <is>
          <t>Egr. fallecidos</t>
        </is>
      </c>
      <c r="N6" s="6" t="inlineStr">
        <is>
          <t>Total egresos</t>
        </is>
      </c>
      <c r="O6" s="6" t="inlineStr">
        <is>
          <t>Ingr.-egr. mismo dia</t>
        </is>
      </c>
      <c r="P6" s="6" t="inlineStr">
        <is>
          <t>Dias cama disponibles</t>
        </is>
      </c>
      <c r="Q6" s="6" t="inlineStr">
        <is>
          <t>Dias cama ocupadas</t>
        </is>
      </c>
      <c r="R6" s="6" t="inlineStr">
        <is>
          <t>Dias estada total</t>
        </is>
      </c>
      <c r="S6" s="6" t="inlineStr">
        <is>
          <t>Dias estada benef.</t>
        </is>
      </c>
      <c r="U6" s="5" t="inlineStr">
        <is>
          <t>Dias con total ingresos manualmente alterado</t>
        </is>
      </c>
      <c r="V6" s="4" t="inlineStr">
        <is>
          <t>0</t>
        </is>
      </c>
    </row>
    <row r="7" ht="20" customHeight="1">
      <c r="A7" s="4">
        <f>DATE(2026,2,1)</f>
        <v/>
      </c>
      <c r="B7" s="4" t="n">
        <v>1</v>
      </c>
      <c r="C7" s="3" t="n"/>
      <c r="D7" s="3" t="n"/>
      <c r="E7" s="3" t="n"/>
      <c r="F7" s="3" t="n"/>
      <c r="G7" s="3" t="n"/>
      <c r="H7" s="3" t="n"/>
      <c r="I7" s="3" t="n"/>
      <c r="J7" s="4">
        <f>SUM(D7:H7)+I7</f>
        <v/>
      </c>
      <c r="K7" s="3" t="n"/>
      <c r="L7" s="3" t="n"/>
      <c r="M7" s="3" t="n"/>
      <c r="N7" s="4">
        <f>SUM(K7:M7)</f>
        <v/>
      </c>
      <c r="O7" s="3" t="n"/>
      <c r="P7" s="3">
        <f>00_PARAMETROS!B5</f>
        <v/>
      </c>
      <c r="Q7" s="4">
        <f>C7+J7-N7</f>
        <v/>
      </c>
      <c r="R7" s="3" t="n"/>
      <c r="S7" s="3" t="n"/>
      <c r="U7" s="5" t="inlineStr">
        <is>
          <t>Dias con total egresos manualmente alterado</t>
        </is>
      </c>
      <c r="V7" s="4" t="inlineStr">
        <is>
          <t>0</t>
        </is>
      </c>
    </row>
    <row r="8" ht="20" customHeight="1">
      <c r="A8" s="4">
        <f>DATE(2026,2,2)</f>
        <v/>
      </c>
      <c r="B8" s="4" t="n">
        <v>2</v>
      </c>
      <c r="C8" s="4">
        <f>Q7</f>
        <v/>
      </c>
      <c r="D8" s="3" t="n"/>
      <c r="E8" s="3" t="n"/>
      <c r="F8" s="3" t="n"/>
      <c r="G8" s="3" t="n"/>
      <c r="H8" s="3" t="n"/>
      <c r="I8" s="3" t="n"/>
      <c r="J8" s="4">
        <f>SUM(D8:H8)+I8</f>
        <v/>
      </c>
      <c r="K8" s="3" t="n"/>
      <c r="L8" s="3" t="n"/>
      <c r="M8" s="3" t="n"/>
      <c r="N8" s="4">
        <f>SUM(K8:M8)</f>
        <v/>
      </c>
      <c r="O8" s="3" t="n"/>
      <c r="P8" s="3">
        <f>00_PARAMETROS!B5</f>
        <v/>
      </c>
      <c r="Q8" s="4">
        <f>C8+J8-N8</f>
        <v/>
      </c>
      <c r="R8" s="3" t="n"/>
      <c r="S8" s="3" t="n"/>
    </row>
    <row r="9" ht="20" customHeight="1">
      <c r="A9" s="4">
        <f>DATE(2026,2,3)</f>
        <v/>
      </c>
      <c r="B9" s="4" t="n">
        <v>3</v>
      </c>
      <c r="C9" s="4">
        <f>Q8</f>
        <v/>
      </c>
      <c r="D9" s="3" t="n"/>
      <c r="E9" s="3" t="n"/>
      <c r="F9" s="3" t="n"/>
      <c r="G9" s="3" t="n"/>
      <c r="H9" s="3" t="n"/>
      <c r="I9" s="3" t="n"/>
      <c r="J9" s="4">
        <f>SUM(D9:H9)+I9</f>
        <v/>
      </c>
      <c r="K9" s="3" t="n"/>
      <c r="L9" s="3" t="n"/>
      <c r="M9" s="3" t="n"/>
      <c r="N9" s="4">
        <f>SUM(K9:M9)</f>
        <v/>
      </c>
      <c r="O9" s="3" t="n"/>
      <c r="P9" s="3">
        <f>00_PARAMETROS!B5</f>
        <v/>
      </c>
      <c r="Q9" s="4">
        <f>C9+J9-N9</f>
        <v/>
      </c>
      <c r="R9" s="3" t="n"/>
      <c r="S9" s="3" t="n"/>
    </row>
    <row r="10" ht="20" customHeight="1">
      <c r="A10" s="4">
        <f>DATE(2026,2,4)</f>
        <v/>
      </c>
      <c r="B10" s="4" t="n">
        <v>4</v>
      </c>
      <c r="C10" s="4">
        <f>Q9</f>
        <v/>
      </c>
      <c r="D10" s="3" t="n"/>
      <c r="E10" s="3" t="n"/>
      <c r="F10" s="3" t="n"/>
      <c r="G10" s="3" t="n"/>
      <c r="H10" s="3" t="n"/>
      <c r="I10" s="3" t="n"/>
      <c r="J10" s="4">
        <f>SUM(D10:H10)+I10</f>
        <v/>
      </c>
      <c r="K10" s="3" t="n"/>
      <c r="L10" s="3" t="n"/>
      <c r="M10" s="3" t="n"/>
      <c r="N10" s="4">
        <f>SUM(K10:M10)</f>
        <v/>
      </c>
      <c r="O10" s="3" t="n"/>
      <c r="P10" s="3">
        <f>00_PARAMETROS!B5</f>
        <v/>
      </c>
      <c r="Q10" s="4">
        <f>C10+J10-N10</f>
        <v/>
      </c>
      <c r="R10" s="3" t="n"/>
      <c r="S10" s="3" t="n"/>
    </row>
    <row r="11" ht="20" customHeight="1">
      <c r="A11" s="4">
        <f>DATE(2026,2,5)</f>
        <v/>
      </c>
      <c r="B11" s="4" t="n">
        <v>5</v>
      </c>
      <c r="C11" s="4">
        <f>Q10</f>
        <v/>
      </c>
      <c r="D11" s="3" t="n"/>
      <c r="E11" s="3" t="n"/>
      <c r="F11" s="3" t="n"/>
      <c r="G11" s="3" t="n"/>
      <c r="H11" s="3" t="n"/>
      <c r="I11" s="3" t="n"/>
      <c r="J11" s="4">
        <f>SUM(D11:H11)+I11</f>
        <v/>
      </c>
      <c r="K11" s="3" t="n"/>
      <c r="L11" s="3" t="n"/>
      <c r="M11" s="3" t="n"/>
      <c r="N11" s="4">
        <f>SUM(K11:M11)</f>
        <v/>
      </c>
      <c r="O11" s="3" t="n"/>
      <c r="P11" s="3">
        <f>00_PARAMETROS!B5</f>
        <v/>
      </c>
      <c r="Q11" s="4">
        <f>C11+J11-N11</f>
        <v/>
      </c>
      <c r="R11" s="3" t="n"/>
      <c r="S11" s="3" t="n"/>
    </row>
    <row r="12" ht="20" customHeight="1">
      <c r="A12" s="4">
        <f>DATE(2026,2,6)</f>
        <v/>
      </c>
      <c r="B12" s="4" t="n">
        <v>6</v>
      </c>
      <c r="C12" s="4">
        <f>Q11</f>
        <v/>
      </c>
      <c r="D12" s="3" t="n"/>
      <c r="E12" s="3" t="n"/>
      <c r="F12" s="3" t="n"/>
      <c r="G12" s="3" t="n"/>
      <c r="H12" s="3" t="n"/>
      <c r="I12" s="3" t="n"/>
      <c r="J12" s="4">
        <f>SUM(D12:H12)+I12</f>
        <v/>
      </c>
      <c r="K12" s="3" t="n"/>
      <c r="L12" s="3" t="n"/>
      <c r="M12" s="3" t="n"/>
      <c r="N12" s="4">
        <f>SUM(K12:M12)</f>
        <v/>
      </c>
      <c r="O12" s="3" t="n"/>
      <c r="P12" s="3">
        <f>00_PARAMETROS!B5</f>
        <v/>
      </c>
      <c r="Q12" s="4">
        <f>C12+J12-N12</f>
        <v/>
      </c>
      <c r="R12" s="3" t="n"/>
      <c r="S12" s="3" t="n"/>
    </row>
    <row r="13" ht="20" customHeight="1">
      <c r="A13" s="4">
        <f>DATE(2026,2,7)</f>
        <v/>
      </c>
      <c r="B13" s="4" t="n">
        <v>7</v>
      </c>
      <c r="C13" s="4">
        <f>Q12</f>
        <v/>
      </c>
      <c r="D13" s="3" t="n"/>
      <c r="E13" s="3" t="n"/>
      <c r="F13" s="3" t="n"/>
      <c r="G13" s="3" t="n"/>
      <c r="H13" s="3" t="n"/>
      <c r="I13" s="3" t="n"/>
      <c r="J13" s="4">
        <f>SUM(D13:H13)+I13</f>
        <v/>
      </c>
      <c r="K13" s="3" t="n"/>
      <c r="L13" s="3" t="n"/>
      <c r="M13" s="3" t="n"/>
      <c r="N13" s="4">
        <f>SUM(K13:M13)</f>
        <v/>
      </c>
      <c r="O13" s="3" t="n"/>
      <c r="P13" s="3">
        <f>00_PARAMETROS!B5</f>
        <v/>
      </c>
      <c r="Q13" s="4">
        <f>C13+J13-N13</f>
        <v/>
      </c>
      <c r="R13" s="3" t="n"/>
      <c r="S13" s="3" t="n"/>
    </row>
    <row r="14" ht="20" customHeight="1">
      <c r="A14" s="4">
        <f>DATE(2026,2,8)</f>
        <v/>
      </c>
      <c r="B14" s="4" t="n">
        <v>8</v>
      </c>
      <c r="C14" s="4">
        <f>Q13</f>
        <v/>
      </c>
      <c r="D14" s="3" t="n"/>
      <c r="E14" s="3" t="n"/>
      <c r="F14" s="3" t="n"/>
      <c r="G14" s="3" t="n"/>
      <c r="H14" s="3" t="n"/>
      <c r="I14" s="3" t="n"/>
      <c r="J14" s="4">
        <f>SUM(D14:H14)+I14</f>
        <v/>
      </c>
      <c r="K14" s="3" t="n"/>
      <c r="L14" s="3" t="n"/>
      <c r="M14" s="3" t="n"/>
      <c r="N14" s="4">
        <f>SUM(K14:M14)</f>
        <v/>
      </c>
      <c r="O14" s="3" t="n"/>
      <c r="P14" s="3">
        <f>00_PARAMETROS!B5</f>
        <v/>
      </c>
      <c r="Q14" s="4">
        <f>C14+J14-N14</f>
        <v/>
      </c>
      <c r="R14" s="3" t="n"/>
      <c r="S14" s="3" t="n"/>
    </row>
    <row r="15" ht="20" customHeight="1">
      <c r="A15" s="4">
        <f>DATE(2026,2,9)</f>
        <v/>
      </c>
      <c r="B15" s="4" t="n">
        <v>9</v>
      </c>
      <c r="C15" s="4">
        <f>Q14</f>
        <v/>
      </c>
      <c r="D15" s="3" t="n"/>
      <c r="E15" s="3" t="n"/>
      <c r="F15" s="3" t="n"/>
      <c r="G15" s="3" t="n"/>
      <c r="H15" s="3" t="n"/>
      <c r="I15" s="3" t="n"/>
      <c r="J15" s="4">
        <f>SUM(D15:H15)+I15</f>
        <v/>
      </c>
      <c r="K15" s="3" t="n"/>
      <c r="L15" s="3" t="n"/>
      <c r="M15" s="3" t="n"/>
      <c r="N15" s="4">
        <f>SUM(K15:M15)</f>
        <v/>
      </c>
      <c r="O15" s="3" t="n"/>
      <c r="P15" s="3">
        <f>00_PARAMETROS!B5</f>
        <v/>
      </c>
      <c r="Q15" s="4">
        <f>C15+J15-N15</f>
        <v/>
      </c>
      <c r="R15" s="3" t="n"/>
      <c r="S15" s="3" t="n"/>
    </row>
    <row r="16" ht="20" customHeight="1">
      <c r="A16" s="4">
        <f>DATE(2026,2,10)</f>
        <v/>
      </c>
      <c r="B16" s="4" t="n">
        <v>10</v>
      </c>
      <c r="C16" s="4">
        <f>Q15</f>
        <v/>
      </c>
      <c r="D16" s="3" t="n"/>
      <c r="E16" s="3" t="n"/>
      <c r="F16" s="3" t="n"/>
      <c r="G16" s="3" t="n"/>
      <c r="H16" s="3" t="n"/>
      <c r="I16" s="3" t="n"/>
      <c r="J16" s="4">
        <f>SUM(D16:H16)+I16</f>
        <v/>
      </c>
      <c r="K16" s="3" t="n"/>
      <c r="L16" s="3" t="n"/>
      <c r="M16" s="3" t="n"/>
      <c r="N16" s="4">
        <f>SUM(K16:M16)</f>
        <v/>
      </c>
      <c r="O16" s="3" t="n"/>
      <c r="P16" s="3">
        <f>00_PARAMETROS!B5</f>
        <v/>
      </c>
      <c r="Q16" s="4">
        <f>C16+J16-N16</f>
        <v/>
      </c>
      <c r="R16" s="3" t="n"/>
      <c r="S16" s="3" t="n"/>
    </row>
    <row r="17" ht="20" customHeight="1">
      <c r="A17" s="4">
        <f>DATE(2026,2,11)</f>
        <v/>
      </c>
      <c r="B17" s="4" t="n">
        <v>11</v>
      </c>
      <c r="C17" s="4">
        <f>Q16</f>
        <v/>
      </c>
      <c r="D17" s="3" t="n"/>
      <c r="E17" s="3" t="n"/>
      <c r="F17" s="3" t="n"/>
      <c r="G17" s="3" t="n"/>
      <c r="H17" s="3" t="n"/>
      <c r="I17" s="3" t="n"/>
      <c r="J17" s="4">
        <f>SUM(D17:H17)+I17</f>
        <v/>
      </c>
      <c r="K17" s="3" t="n"/>
      <c r="L17" s="3" t="n"/>
      <c r="M17" s="3" t="n"/>
      <c r="N17" s="4">
        <f>SUM(K17:M17)</f>
        <v/>
      </c>
      <c r="O17" s="3" t="n"/>
      <c r="P17" s="3">
        <f>00_PARAMETROS!B5</f>
        <v/>
      </c>
      <c r="Q17" s="4">
        <f>C17+J17-N17</f>
        <v/>
      </c>
      <c r="R17" s="3" t="n"/>
      <c r="S17" s="3" t="n"/>
    </row>
    <row r="18" ht="20" customHeight="1">
      <c r="A18" s="4">
        <f>DATE(2026,2,12)</f>
        <v/>
      </c>
      <c r="B18" s="4" t="n">
        <v>12</v>
      </c>
      <c r="C18" s="4">
        <f>Q17</f>
        <v/>
      </c>
      <c r="D18" s="3" t="n"/>
      <c r="E18" s="3" t="n"/>
      <c r="F18" s="3" t="n"/>
      <c r="G18" s="3" t="n"/>
      <c r="H18" s="3" t="n"/>
      <c r="I18" s="3" t="n"/>
      <c r="J18" s="4">
        <f>SUM(D18:H18)+I18</f>
        <v/>
      </c>
      <c r="K18" s="3" t="n"/>
      <c r="L18" s="3" t="n"/>
      <c r="M18" s="3" t="n"/>
      <c r="N18" s="4">
        <f>SUM(K18:M18)</f>
        <v/>
      </c>
      <c r="O18" s="3" t="n"/>
      <c r="P18" s="3">
        <f>00_PARAMETROS!B5</f>
        <v/>
      </c>
      <c r="Q18" s="4">
        <f>C18+J18-N18</f>
        <v/>
      </c>
      <c r="R18" s="3" t="n"/>
      <c r="S18" s="3" t="n"/>
    </row>
    <row r="19" ht="20" customHeight="1">
      <c r="A19" s="4">
        <f>DATE(2026,2,13)</f>
        <v/>
      </c>
      <c r="B19" s="4" t="n">
        <v>13</v>
      </c>
      <c r="C19" s="4">
        <f>Q18</f>
        <v/>
      </c>
      <c r="D19" s="3" t="n"/>
      <c r="E19" s="3" t="n"/>
      <c r="F19" s="3" t="n"/>
      <c r="G19" s="3" t="n"/>
      <c r="H19" s="3" t="n"/>
      <c r="I19" s="3" t="n"/>
      <c r="J19" s="4">
        <f>SUM(D19:H19)+I19</f>
        <v/>
      </c>
      <c r="K19" s="3" t="n"/>
      <c r="L19" s="3" t="n"/>
      <c r="M19" s="3" t="n"/>
      <c r="N19" s="4">
        <f>SUM(K19:M19)</f>
        <v/>
      </c>
      <c r="O19" s="3" t="n"/>
      <c r="P19" s="3">
        <f>00_PARAMETROS!B5</f>
        <v/>
      </c>
      <c r="Q19" s="4">
        <f>C19+J19-N19</f>
        <v/>
      </c>
      <c r="R19" s="3" t="n"/>
      <c r="S19" s="3" t="n"/>
    </row>
    <row r="20" ht="20" customHeight="1">
      <c r="A20" s="4">
        <f>DATE(2026,2,14)</f>
        <v/>
      </c>
      <c r="B20" s="4" t="n">
        <v>14</v>
      </c>
      <c r="C20" s="4">
        <f>Q19</f>
        <v/>
      </c>
      <c r="D20" s="3" t="n"/>
      <c r="E20" s="3" t="n"/>
      <c r="F20" s="3" t="n"/>
      <c r="G20" s="3" t="n"/>
      <c r="H20" s="3" t="n"/>
      <c r="I20" s="3" t="n"/>
      <c r="J20" s="4">
        <f>SUM(D20:H20)+I20</f>
        <v/>
      </c>
      <c r="K20" s="3" t="n"/>
      <c r="L20" s="3" t="n"/>
      <c r="M20" s="3" t="n"/>
      <c r="N20" s="4">
        <f>SUM(K20:M20)</f>
        <v/>
      </c>
      <c r="O20" s="3" t="n"/>
      <c r="P20" s="3">
        <f>00_PARAMETROS!B5</f>
        <v/>
      </c>
      <c r="Q20" s="4">
        <f>C20+J20-N20</f>
        <v/>
      </c>
      <c r="R20" s="3" t="n"/>
      <c r="S20" s="3" t="n"/>
    </row>
    <row r="21" ht="20" customHeight="1">
      <c r="A21" s="4">
        <f>DATE(2026,2,15)</f>
        <v/>
      </c>
      <c r="B21" s="4" t="n">
        <v>15</v>
      </c>
      <c r="C21" s="4">
        <f>Q20</f>
        <v/>
      </c>
      <c r="D21" s="3" t="n"/>
      <c r="E21" s="3" t="n"/>
      <c r="F21" s="3" t="n"/>
      <c r="G21" s="3" t="n"/>
      <c r="H21" s="3" t="n"/>
      <c r="I21" s="3" t="n"/>
      <c r="J21" s="4">
        <f>SUM(D21:H21)+I21</f>
        <v/>
      </c>
      <c r="K21" s="3" t="n"/>
      <c r="L21" s="3" t="n"/>
      <c r="M21" s="3" t="n"/>
      <c r="N21" s="4">
        <f>SUM(K21:M21)</f>
        <v/>
      </c>
      <c r="O21" s="3" t="n"/>
      <c r="P21" s="3">
        <f>00_PARAMETROS!B5</f>
        <v/>
      </c>
      <c r="Q21" s="4">
        <f>C21+J21-N21</f>
        <v/>
      </c>
      <c r="R21" s="3" t="n"/>
      <c r="S21" s="3" t="n"/>
    </row>
    <row r="22" ht="20" customHeight="1">
      <c r="A22" s="4">
        <f>DATE(2026,2,16)</f>
        <v/>
      </c>
      <c r="B22" s="4" t="n">
        <v>16</v>
      </c>
      <c r="C22" s="4">
        <f>Q21</f>
        <v/>
      </c>
      <c r="D22" s="3" t="n"/>
      <c r="E22" s="3" t="n"/>
      <c r="F22" s="3" t="n"/>
      <c r="G22" s="3" t="n"/>
      <c r="H22" s="3" t="n"/>
      <c r="I22" s="3" t="n"/>
      <c r="J22" s="4">
        <f>SUM(D22:H22)+I22</f>
        <v/>
      </c>
      <c r="K22" s="3" t="n"/>
      <c r="L22" s="3" t="n"/>
      <c r="M22" s="3" t="n"/>
      <c r="N22" s="4">
        <f>SUM(K22:M22)</f>
        <v/>
      </c>
      <c r="O22" s="3" t="n"/>
      <c r="P22" s="3">
        <f>00_PARAMETROS!B5</f>
        <v/>
      </c>
      <c r="Q22" s="4">
        <f>C22+J22-N22</f>
        <v/>
      </c>
      <c r="R22" s="3" t="n"/>
      <c r="S22" s="3" t="n"/>
    </row>
    <row r="23" ht="20" customHeight="1">
      <c r="A23" s="4">
        <f>DATE(2026,2,17)</f>
        <v/>
      </c>
      <c r="B23" s="4" t="n">
        <v>17</v>
      </c>
      <c r="C23" s="4">
        <f>Q22</f>
        <v/>
      </c>
      <c r="D23" s="3" t="n"/>
      <c r="E23" s="3" t="n"/>
      <c r="F23" s="3" t="n"/>
      <c r="G23" s="3" t="n"/>
      <c r="H23" s="3" t="n"/>
      <c r="I23" s="3" t="n"/>
      <c r="J23" s="4">
        <f>SUM(D23:H23)+I23</f>
        <v/>
      </c>
      <c r="K23" s="3" t="n"/>
      <c r="L23" s="3" t="n"/>
      <c r="M23" s="3" t="n"/>
      <c r="N23" s="4">
        <f>SUM(K23:M23)</f>
        <v/>
      </c>
      <c r="O23" s="3" t="n"/>
      <c r="P23" s="3">
        <f>00_PARAMETROS!B5</f>
        <v/>
      </c>
      <c r="Q23" s="4">
        <f>C23+J23-N23</f>
        <v/>
      </c>
      <c r="R23" s="3" t="n"/>
      <c r="S23" s="3" t="n"/>
    </row>
    <row r="24" ht="20" customHeight="1">
      <c r="A24" s="4">
        <f>DATE(2026,2,18)</f>
        <v/>
      </c>
      <c r="B24" s="4" t="n">
        <v>18</v>
      </c>
      <c r="C24" s="4">
        <f>Q23</f>
        <v/>
      </c>
      <c r="D24" s="3" t="n"/>
      <c r="E24" s="3" t="n"/>
      <c r="F24" s="3" t="n"/>
      <c r="G24" s="3" t="n"/>
      <c r="H24" s="3" t="n"/>
      <c r="I24" s="3" t="n"/>
      <c r="J24" s="4">
        <f>SUM(D24:H24)+I24</f>
        <v/>
      </c>
      <c r="K24" s="3" t="n"/>
      <c r="L24" s="3" t="n"/>
      <c r="M24" s="3" t="n"/>
      <c r="N24" s="4">
        <f>SUM(K24:M24)</f>
        <v/>
      </c>
      <c r="O24" s="3" t="n"/>
      <c r="P24" s="3">
        <f>00_PARAMETROS!B5</f>
        <v/>
      </c>
      <c r="Q24" s="4">
        <f>C24+J24-N24</f>
        <v/>
      </c>
      <c r="R24" s="3" t="n"/>
      <c r="S24" s="3" t="n"/>
    </row>
    <row r="25" ht="20" customHeight="1">
      <c r="A25" s="4">
        <f>DATE(2026,2,19)</f>
        <v/>
      </c>
      <c r="B25" s="4" t="n">
        <v>19</v>
      </c>
      <c r="C25" s="4">
        <f>Q24</f>
        <v/>
      </c>
      <c r="D25" s="3" t="n"/>
      <c r="E25" s="3" t="n"/>
      <c r="F25" s="3" t="n"/>
      <c r="G25" s="3" t="n"/>
      <c r="H25" s="3" t="n"/>
      <c r="I25" s="3" t="n"/>
      <c r="J25" s="4">
        <f>SUM(D25:H25)+I25</f>
        <v/>
      </c>
      <c r="K25" s="3" t="n"/>
      <c r="L25" s="3" t="n"/>
      <c r="M25" s="3" t="n"/>
      <c r="N25" s="4">
        <f>SUM(K25:M25)</f>
        <v/>
      </c>
      <c r="O25" s="3" t="n"/>
      <c r="P25" s="3">
        <f>00_PARAMETROS!B5</f>
        <v/>
      </c>
      <c r="Q25" s="4">
        <f>C25+J25-N25</f>
        <v/>
      </c>
      <c r="R25" s="3" t="n"/>
      <c r="S25" s="3" t="n"/>
    </row>
    <row r="26" ht="20" customHeight="1">
      <c r="A26" s="4">
        <f>DATE(2026,2,20)</f>
        <v/>
      </c>
      <c r="B26" s="4" t="n">
        <v>20</v>
      </c>
      <c r="C26" s="4">
        <f>Q25</f>
        <v/>
      </c>
      <c r="D26" s="3" t="n"/>
      <c r="E26" s="3" t="n"/>
      <c r="F26" s="3" t="n"/>
      <c r="G26" s="3" t="n"/>
      <c r="H26" s="3" t="n"/>
      <c r="I26" s="3" t="n"/>
      <c r="J26" s="4">
        <f>SUM(D26:H26)+I26</f>
        <v/>
      </c>
      <c r="K26" s="3" t="n"/>
      <c r="L26" s="3" t="n"/>
      <c r="M26" s="3" t="n"/>
      <c r="N26" s="4">
        <f>SUM(K26:M26)</f>
        <v/>
      </c>
      <c r="O26" s="3" t="n"/>
      <c r="P26" s="3">
        <f>00_PARAMETROS!B5</f>
        <v/>
      </c>
      <c r="Q26" s="4">
        <f>C26+J26-N26</f>
        <v/>
      </c>
      <c r="R26" s="3" t="n"/>
      <c r="S26" s="3" t="n"/>
    </row>
    <row r="27" ht="20" customHeight="1">
      <c r="A27" s="4">
        <f>DATE(2026,2,21)</f>
        <v/>
      </c>
      <c r="B27" s="4" t="n">
        <v>21</v>
      </c>
      <c r="C27" s="4">
        <f>Q26</f>
        <v/>
      </c>
      <c r="D27" s="3" t="n"/>
      <c r="E27" s="3" t="n"/>
      <c r="F27" s="3" t="n"/>
      <c r="G27" s="3" t="n"/>
      <c r="H27" s="3" t="n"/>
      <c r="I27" s="3" t="n"/>
      <c r="J27" s="4">
        <f>SUM(D27:H27)+I27</f>
        <v/>
      </c>
      <c r="K27" s="3" t="n"/>
      <c r="L27" s="3" t="n"/>
      <c r="M27" s="3" t="n"/>
      <c r="N27" s="4">
        <f>SUM(K27:M27)</f>
        <v/>
      </c>
      <c r="O27" s="3" t="n"/>
      <c r="P27" s="3">
        <f>00_PARAMETROS!B5</f>
        <v/>
      </c>
      <c r="Q27" s="4">
        <f>C27+J27-N27</f>
        <v/>
      </c>
      <c r="R27" s="3" t="n"/>
      <c r="S27" s="3" t="n"/>
    </row>
    <row r="28" ht="20" customHeight="1">
      <c r="A28" s="4">
        <f>DATE(2026,2,22)</f>
        <v/>
      </c>
      <c r="B28" s="4" t="n">
        <v>22</v>
      </c>
      <c r="C28" s="4">
        <f>Q27</f>
        <v/>
      </c>
      <c r="D28" s="3" t="n"/>
      <c r="E28" s="3" t="n"/>
      <c r="F28" s="3" t="n"/>
      <c r="G28" s="3" t="n"/>
      <c r="H28" s="3" t="n"/>
      <c r="I28" s="3" t="n"/>
      <c r="J28" s="4">
        <f>SUM(D28:H28)+I28</f>
        <v/>
      </c>
      <c r="K28" s="3" t="n"/>
      <c r="L28" s="3" t="n"/>
      <c r="M28" s="3" t="n"/>
      <c r="N28" s="4">
        <f>SUM(K28:M28)</f>
        <v/>
      </c>
      <c r="O28" s="3" t="n"/>
      <c r="P28" s="3">
        <f>00_PARAMETROS!B5</f>
        <v/>
      </c>
      <c r="Q28" s="4">
        <f>C28+J28-N28</f>
        <v/>
      </c>
      <c r="R28" s="3" t="n"/>
      <c r="S28" s="3" t="n"/>
    </row>
    <row r="29" ht="20" customHeight="1">
      <c r="A29" s="4">
        <f>DATE(2026,2,23)</f>
        <v/>
      </c>
      <c r="B29" s="4" t="n">
        <v>23</v>
      </c>
      <c r="C29" s="4">
        <f>Q28</f>
        <v/>
      </c>
      <c r="D29" s="3" t="n"/>
      <c r="E29" s="3" t="n"/>
      <c r="F29" s="3" t="n"/>
      <c r="G29" s="3" t="n"/>
      <c r="H29" s="3" t="n"/>
      <c r="I29" s="3" t="n"/>
      <c r="J29" s="4">
        <f>SUM(D29:H29)+I29</f>
        <v/>
      </c>
      <c r="K29" s="3" t="n"/>
      <c r="L29" s="3" t="n"/>
      <c r="M29" s="3" t="n"/>
      <c r="N29" s="4">
        <f>SUM(K29:M29)</f>
        <v/>
      </c>
      <c r="O29" s="3" t="n"/>
      <c r="P29" s="3">
        <f>00_PARAMETROS!B5</f>
        <v/>
      </c>
      <c r="Q29" s="4">
        <f>C29+J29-N29</f>
        <v/>
      </c>
      <c r="R29" s="3" t="n"/>
      <c r="S29" s="3" t="n"/>
    </row>
    <row r="30" ht="20" customHeight="1">
      <c r="A30" s="4">
        <f>DATE(2026,2,24)</f>
        <v/>
      </c>
      <c r="B30" s="4" t="n">
        <v>24</v>
      </c>
      <c r="C30" s="4">
        <f>Q29</f>
        <v/>
      </c>
      <c r="D30" s="3" t="n"/>
      <c r="E30" s="3" t="n"/>
      <c r="F30" s="3" t="n"/>
      <c r="G30" s="3" t="n"/>
      <c r="H30" s="3" t="n"/>
      <c r="I30" s="3" t="n"/>
      <c r="J30" s="4">
        <f>SUM(D30:H30)+I30</f>
        <v/>
      </c>
      <c r="K30" s="3" t="n"/>
      <c r="L30" s="3" t="n"/>
      <c r="M30" s="3" t="n"/>
      <c r="N30" s="4">
        <f>SUM(K30:M30)</f>
        <v/>
      </c>
      <c r="O30" s="3" t="n"/>
      <c r="P30" s="3">
        <f>00_PARAMETROS!B5</f>
        <v/>
      </c>
      <c r="Q30" s="4">
        <f>C30+J30-N30</f>
        <v/>
      </c>
      <c r="R30" s="3" t="n"/>
      <c r="S30" s="3" t="n"/>
    </row>
    <row r="31" ht="20" customHeight="1">
      <c r="A31" s="4">
        <f>DATE(2026,2,25)</f>
        <v/>
      </c>
      <c r="B31" s="4" t="n">
        <v>25</v>
      </c>
      <c r="C31" s="4">
        <f>Q30</f>
        <v/>
      </c>
      <c r="D31" s="3" t="n"/>
      <c r="E31" s="3" t="n"/>
      <c r="F31" s="3" t="n"/>
      <c r="G31" s="3" t="n"/>
      <c r="H31" s="3" t="n"/>
      <c r="I31" s="3" t="n"/>
      <c r="J31" s="4">
        <f>SUM(D31:H31)+I31</f>
        <v/>
      </c>
      <c r="K31" s="3" t="n"/>
      <c r="L31" s="3" t="n"/>
      <c r="M31" s="3" t="n"/>
      <c r="N31" s="4">
        <f>SUM(K31:M31)</f>
        <v/>
      </c>
      <c r="O31" s="3" t="n"/>
      <c r="P31" s="3">
        <f>00_PARAMETROS!B5</f>
        <v/>
      </c>
      <c r="Q31" s="4">
        <f>C31+J31-N31</f>
        <v/>
      </c>
      <c r="R31" s="3" t="n"/>
      <c r="S31" s="3" t="n"/>
    </row>
    <row r="32" ht="20" customHeight="1">
      <c r="A32" s="4">
        <f>DATE(2026,2,26)</f>
        <v/>
      </c>
      <c r="B32" s="4" t="n">
        <v>26</v>
      </c>
      <c r="C32" s="4">
        <f>Q31</f>
        <v/>
      </c>
      <c r="D32" s="3" t="n"/>
      <c r="E32" s="3" t="n"/>
      <c r="F32" s="3" t="n"/>
      <c r="G32" s="3" t="n"/>
      <c r="H32" s="3" t="n"/>
      <c r="I32" s="3" t="n"/>
      <c r="J32" s="4">
        <f>SUM(D32:H32)+I32</f>
        <v/>
      </c>
      <c r="K32" s="3" t="n"/>
      <c r="L32" s="3" t="n"/>
      <c r="M32" s="3" t="n"/>
      <c r="N32" s="4">
        <f>SUM(K32:M32)</f>
        <v/>
      </c>
      <c r="O32" s="3" t="n"/>
      <c r="P32" s="3">
        <f>00_PARAMETROS!B5</f>
        <v/>
      </c>
      <c r="Q32" s="4">
        <f>C32+J32-N32</f>
        <v/>
      </c>
      <c r="R32" s="3" t="n"/>
      <c r="S32" s="3" t="n"/>
    </row>
    <row r="33" ht="20" customHeight="1">
      <c r="A33" s="4">
        <f>DATE(2026,2,27)</f>
        <v/>
      </c>
      <c r="B33" s="4" t="n">
        <v>27</v>
      </c>
      <c r="C33" s="4">
        <f>Q32</f>
        <v/>
      </c>
      <c r="D33" s="3" t="n"/>
      <c r="E33" s="3" t="n"/>
      <c r="F33" s="3" t="n"/>
      <c r="G33" s="3" t="n"/>
      <c r="H33" s="3" t="n"/>
      <c r="I33" s="3" t="n"/>
      <c r="J33" s="4">
        <f>SUM(D33:H33)+I33</f>
        <v/>
      </c>
      <c r="K33" s="3" t="n"/>
      <c r="L33" s="3" t="n"/>
      <c r="M33" s="3" t="n"/>
      <c r="N33" s="4">
        <f>SUM(K33:M33)</f>
        <v/>
      </c>
      <c r="O33" s="3" t="n"/>
      <c r="P33" s="3">
        <f>00_PARAMETROS!B5</f>
        <v/>
      </c>
      <c r="Q33" s="4">
        <f>C33+J33-N33</f>
        <v/>
      </c>
      <c r="R33" s="3" t="n"/>
      <c r="S33" s="3" t="n"/>
    </row>
    <row r="34" ht="20" customHeight="1">
      <c r="A34" s="4">
        <f>DATE(2026,2,28)</f>
        <v/>
      </c>
      <c r="B34" s="4" t="n">
        <v>28</v>
      </c>
      <c r="C34" s="4">
        <f>Q33</f>
        <v/>
      </c>
      <c r="D34" s="3" t="n"/>
      <c r="E34" s="3" t="n"/>
      <c r="F34" s="3" t="n"/>
      <c r="G34" s="3" t="n"/>
      <c r="H34" s="3" t="n"/>
      <c r="I34" s="3" t="n"/>
      <c r="J34" s="4">
        <f>SUM(D34:H34)+I34</f>
        <v/>
      </c>
      <c r="K34" s="3" t="n"/>
      <c r="L34" s="3" t="n"/>
      <c r="M34" s="3" t="n"/>
      <c r="N34" s="4">
        <f>SUM(K34:M34)</f>
        <v/>
      </c>
      <c r="O34" s="3" t="n"/>
      <c r="P34" s="3">
        <f>00_PARAMETROS!B5</f>
        <v/>
      </c>
      <c r="Q34" s="4">
        <f>C34+J34-N34</f>
        <v/>
      </c>
      <c r="R34" s="3" t="n"/>
      <c r="S34" s="3" t="n"/>
    </row>
    <row r="35" ht="20" customHeight="1">
      <c r="A35" s="2" t="inlineStr">
        <is>
          <t>TOTAL</t>
        </is>
      </c>
      <c r="B35" s="7" t="n"/>
      <c r="C35" s="7" t="n"/>
      <c r="D35" s="8">
        <f>SUM(D7:D34)</f>
        <v/>
      </c>
      <c r="E35" s="8">
        <f>SUM(E7:E34)</f>
        <v/>
      </c>
      <c r="F35" s="8">
        <f>SUM(F7:F34)</f>
        <v/>
      </c>
      <c r="G35" s="8">
        <f>SUM(G7:G34)</f>
        <v/>
      </c>
      <c r="H35" s="8">
        <f>SUM(H7:H34)</f>
        <v/>
      </c>
      <c r="I35" s="8">
        <f>SUM(I7:I34)</f>
        <v/>
      </c>
      <c r="J35" s="8">
        <f>SUM(J7:J34)</f>
        <v/>
      </c>
      <c r="K35" s="8">
        <f>SUM(K7:K34)</f>
        <v/>
      </c>
      <c r="L35" s="8">
        <f>SUM(L7:L34)</f>
        <v/>
      </c>
      <c r="M35" s="8">
        <f>SUM(M7:M34)</f>
        <v/>
      </c>
      <c r="N35" s="8">
        <f>SUM(N7:N34)</f>
        <v/>
      </c>
      <c r="O35" s="8">
        <f>SUM(O7:O34)</f>
        <v/>
      </c>
      <c r="P35" s="8">
        <f>SUM(P7:P34)</f>
        <v/>
      </c>
      <c r="Q35" s="8">
        <f>SUM(Q7:Q34)</f>
        <v/>
      </c>
      <c r="R35" s="8">
        <f>SUM(R7:R34)</f>
        <v/>
      </c>
      <c r="S35" s="8">
        <f>SUM(S7:S34)</f>
        <v/>
      </c>
    </row>
    <row r="36" ht="20" customHeight="1"/>
    <row r="37" ht="20" customHeight="1"/>
    <row r="38" ht="20" customHeight="1">
      <c r="A38" s="2" t="inlineStr">
        <is>
          <t>RESUMEN DEL MES</t>
        </is>
      </c>
      <c r="B38" s="9" t="n"/>
      <c r="C38" s="9" t="n"/>
      <c r="D38" s="10" t="n"/>
    </row>
    <row r="39" ht="20" customHeight="1">
      <c r="A39" s="11" t="inlineStr">
        <is>
          <t>Ingresos</t>
        </is>
      </c>
      <c r="B39" s="4">
        <f>J35</f>
        <v/>
      </c>
    </row>
    <row r="40" ht="20" customHeight="1">
      <c r="A40" s="11" t="inlineStr">
        <is>
          <t>Altas al hogar / otro hosp.</t>
        </is>
      </c>
      <c r="B40" s="4">
        <f>K35</f>
        <v/>
      </c>
    </row>
    <row r="41" ht="20" customHeight="1">
      <c r="A41" s="11" t="inlineStr">
        <is>
          <t>Traslados a otro servicio</t>
        </is>
      </c>
      <c r="B41" s="4">
        <f>L35</f>
        <v/>
      </c>
    </row>
    <row r="42" ht="20" customHeight="1">
      <c r="A42" s="11" t="inlineStr">
        <is>
          <t>Fallecidos</t>
        </is>
      </c>
      <c r="B42" s="4">
        <f>M35</f>
        <v/>
      </c>
    </row>
    <row r="43" ht="20" customHeight="1">
      <c r="A43" s="11" t="inlineStr">
        <is>
          <t>Total egresos</t>
        </is>
      </c>
      <c r="B43" s="4">
        <f>N35</f>
        <v/>
      </c>
    </row>
    <row r="44" ht="20" customHeight="1">
      <c r="A44" s="11" t="inlineStr">
        <is>
          <t>Pacientes atendidos del mes</t>
        </is>
      </c>
      <c r="B44" s="4">
        <f>C7+J35</f>
        <v/>
      </c>
    </row>
    <row r="45" ht="20" customHeight="1">
      <c r="A45" s="11" t="inlineStr">
        <is>
          <t>Dias personas atendidas</t>
        </is>
      </c>
      <c r="B45" s="4">
        <f>R35</f>
        <v/>
      </c>
    </row>
    <row r="46" ht="20" customHeight="1">
      <c r="A46" s="11" t="inlineStr">
        <is>
          <t>Indice ocupacional %</t>
        </is>
      </c>
      <c r="B46" s="12">
        <f>IFERROR(Q35/P35,"")</f>
        <v/>
      </c>
    </row>
    <row r="47" ht="20" customHeight="1">
      <c r="A47" s="11" t="inlineStr">
        <is>
          <t>Promedio dia de estada</t>
        </is>
      </c>
      <c r="B47" s="13">
        <f>IFERROR(R35/N35,"")</f>
        <v/>
      </c>
    </row>
  </sheetData>
  <sheetProtection selectLockedCells="1" selectUnlockedCells="1" sheet="1" objects="0" insertRows="1" insertHyperlinks="1" autoFilter="1" scenarios="0" formatColumns="1" deleteColumns="1" insertColumns="1" pivotTables="1" deleteRows="1" formatCells="1" formatRows="1" sort="1" password="C752"/>
  <mergeCells count="3">
    <mergeCell ref="U1:W1"/>
    <mergeCell ref="A38:D38"/>
    <mergeCell ref="A1:S1"/>
  </mergeCells>
  <dataValidations count="1">
    <dataValidation sqref="D7 D8 D9 D10 D11 D12 D13 D14 D15 D16 D17 D18 D19 D20 D21 D22 D23 D24 D25 D26 D27 D28 D29 D30 D31 D32 D33 D34 E7 E8 E9 E10 E11 E12 E13 E14 E15 E16 E17 E18 E19 E20 E21 E22 E23 E24 E25 E26 E27 E28 E29 E30 E31 E32 E33 E34 F7 F8 F9 F10 F11 F12 F13 F14 F15 F16 F17 F18 F19 F20 F21 F22 F23 F24 F25 F26 F27 F28 F29 F30 F31 F32 F33 F34 G7 G8 G9 G10 G11 G12 G13 G14 G15 G16 G17 G18 G19 G20 G21 G22 G23 G24 G25 G26 G27 G28 G29 G30 G31 G32 G33 G34 H7 H8 H9 H10 H11 H12 H13 H14 H15 H16 H17 H18 H19 H20 H21 H22 H23 H24 H25 H26 H27 H28 H29 H30 H31 H32 H33 H34 I7 I8 I9 I10 I11 I12 I13 I14 I15 I16 I17 I18 I19 I20 I21 I22 I23 I24 I25 I26 I27 I28 I29 I30 I31 I32 I33 I34 K7 K8 K9 K10 K11 K12 K13 K14 K15 K16 K17 K18 K19 K20 K21 K22 K23 K24 K25 K26 K27 K28 K29 K30 K31 K32 K33 K34 L7 L8 L9 L10 L11 L12 L13 L14 L15 L16 L17 L18 L19 L20 L21 L22 L23 L24 L25 L26 L27 L28 L29 L30 L31 L32 L33 L34 M7 M8 M9 M10 M11 M12 M13 M14 M15 M16 M17 M18 M19 M20 M21 M22 M23 M24 M25 M26 M27 M28 M29 M30 M31 M32 M33 M34 O7 O8 O9 O10 O11 O12 O13 O14 O15 O16 O17 O18 O19 O20 O21 O22 O23 O24 O25 O26 O27 O28 O29 O30 O31 O32 O33 O34 P7 P8 P9 P10 P11 P12 P13 P14 P15 P16 P17 P18 P19 P20 P21 P22 P23 P24 P25 P26 P27 P28 P29 P30 P31 P32 P33 P34 R7 R8 R9 R10 R11 R12 R13 R14 R15 R16 R17 R18 R19 R20 R21 R22 R23 R24 R25 R26 R27 R28 R29 R30 R31 R32 R33 R34 S7 S8 S9 S10 S11 S12 S13 S14 S15 S16 S17 S18 S19 S20 S21 S22 S23 S24 S25 S26 S27 S28 S29 S30 S31 S32 S33 S34" showDropDown="0" showInputMessage="0" showErrorMessage="0" allowBlank="1" prompt="Ingresa un numero entero mayor o igual a 0." type="whole" operator="greaterThanOrEqual">
      <formula1>0</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20" customWidth="1" min="1" max="1"/>
    <col width="12" customWidth="1" min="2" max="2"/>
    <col width="14" customWidth="1" min="3" max="3"/>
    <col width="18" customWidth="1" min="4" max="4"/>
    <col width="20" customWidth="1" min="5" max="5"/>
    <col width="16" customWidth="1" min="6" max="6"/>
    <col width="18" customWidth="1" min="7" max="7"/>
    <col width="10" customWidth="1" min="8" max="8"/>
  </cols>
  <sheetData>
    <row r="1">
      <c r="A1" s="1" t="inlineStr">
        <is>
          <t>CONTROL GENERAL</t>
        </is>
      </c>
    </row>
    <row r="3">
      <c r="A3" s="11" t="inlineStr">
        <is>
          <t>Mes</t>
        </is>
      </c>
      <c r="B3" s="11" t="inlineStr">
        <is>
          <t>Ingresos</t>
        </is>
      </c>
      <c r="C3" s="11" t="inlineStr">
        <is>
          <t>Total egresos</t>
        </is>
      </c>
      <c r="D3" s="11" t="inlineStr">
        <is>
          <t>Pacientes atendidos</t>
        </is>
      </c>
      <c r="E3" s="11" t="inlineStr">
        <is>
          <t>Dias personas atendidas</t>
        </is>
      </c>
      <c r="F3" s="11" t="inlineStr">
        <is>
          <t>Indice ocupacional</t>
        </is>
      </c>
      <c r="G3" s="11" t="inlineStr">
        <is>
          <t>Promedio dia de estada</t>
        </is>
      </c>
      <c r="H3" s="11" t="inlineStr">
        <is>
          <t>Alertas</t>
        </is>
      </c>
    </row>
    <row r="4">
      <c r="A4" s="7" t="inlineStr">
        <is>
          <t>DICIEMBRE 2024</t>
        </is>
      </c>
      <c r="B4" s="4">
        <f>'DICIEMBRE 2024'!B42</f>
        <v/>
      </c>
      <c r="C4" s="4">
        <f>'DICIEMBRE 2024'!B46</f>
        <v/>
      </c>
      <c r="D4" s="4">
        <f>'DICIEMBRE 2024'!B47</f>
        <v/>
      </c>
      <c r="E4" s="4">
        <f>'DICIEMBRE 2024'!B48</f>
        <v/>
      </c>
      <c r="F4" s="4">
        <f>'DICIEMBRE 2024'!B49</f>
        <v/>
      </c>
      <c r="G4" s="4">
        <f>'DICIEMBRE 2024'!B50</f>
        <v/>
      </c>
      <c r="H4" s="4">
        <f>SUM('DICIEMBRE 2024'!V3:V7)</f>
        <v/>
      </c>
    </row>
    <row r="5">
      <c r="A5" s="7" t="inlineStr">
        <is>
          <t>ENERO 2025</t>
        </is>
      </c>
      <c r="B5" s="4">
        <f>'ENERO 2025'!B42</f>
        <v/>
      </c>
      <c r="C5" s="4">
        <f>'ENERO 2025'!B46</f>
        <v/>
      </c>
      <c r="D5" s="4">
        <f>'ENERO 2025'!B47</f>
        <v/>
      </c>
      <c r="E5" s="4">
        <f>'ENERO 2025'!B48</f>
        <v/>
      </c>
      <c r="F5" s="4">
        <f>'ENERO 2025'!B49</f>
        <v/>
      </c>
      <c r="G5" s="4">
        <f>'ENERO 2025'!B50</f>
        <v/>
      </c>
      <c r="H5" s="4">
        <f>SUM('ENERO 2025'!V3:V7)</f>
        <v/>
      </c>
    </row>
    <row r="6">
      <c r="A6" s="7" t="inlineStr">
        <is>
          <t>FEBRERO 2025</t>
        </is>
      </c>
      <c r="B6" s="4">
        <f>'FEBRERO 2025'!B39</f>
        <v/>
      </c>
      <c r="C6" s="4">
        <f>'FEBRERO 2025'!B43</f>
        <v/>
      </c>
      <c r="D6" s="4">
        <f>'FEBRERO 2025'!B44</f>
        <v/>
      </c>
      <c r="E6" s="4">
        <f>'FEBRERO 2025'!B45</f>
        <v/>
      </c>
      <c r="F6" s="4">
        <f>'FEBRERO 2025'!B46</f>
        <v/>
      </c>
      <c r="G6" s="4">
        <f>'FEBRERO 2025'!B47</f>
        <v/>
      </c>
      <c r="H6" s="4">
        <f>SUM('FEBRERO 2025'!V3:V7)</f>
        <v/>
      </c>
    </row>
    <row r="7">
      <c r="A7" s="7" t="inlineStr">
        <is>
          <t>MARZO 2025</t>
        </is>
      </c>
      <c r="B7" s="4">
        <f>'MARZO 2025'!B42</f>
        <v/>
      </c>
      <c r="C7" s="4">
        <f>'MARZO 2025'!B46</f>
        <v/>
      </c>
      <c r="D7" s="4">
        <f>'MARZO 2025'!B47</f>
        <v/>
      </c>
      <c r="E7" s="4">
        <f>'MARZO 2025'!B48</f>
        <v/>
      </c>
      <c r="F7" s="4">
        <f>'MARZO 2025'!B49</f>
        <v/>
      </c>
      <c r="G7" s="4">
        <f>'MARZO 2025'!B50</f>
        <v/>
      </c>
      <c r="H7" s="4">
        <f>SUM('MARZO 2025'!V3:V7)</f>
        <v/>
      </c>
    </row>
    <row r="8">
      <c r="A8" s="7" t="inlineStr">
        <is>
          <t>ABRIL 2025</t>
        </is>
      </c>
      <c r="B8" s="4">
        <f>'ABRIL 2025'!B41</f>
        <v/>
      </c>
      <c r="C8" s="4">
        <f>'ABRIL 2025'!B45</f>
        <v/>
      </c>
      <c r="D8" s="4">
        <f>'ABRIL 2025'!B46</f>
        <v/>
      </c>
      <c r="E8" s="4">
        <f>'ABRIL 2025'!B47</f>
        <v/>
      </c>
      <c r="F8" s="4">
        <f>'ABRIL 2025'!B48</f>
        <v/>
      </c>
      <c r="G8" s="4">
        <f>'ABRIL 2025'!B49</f>
        <v/>
      </c>
      <c r="H8" s="4">
        <f>SUM('ABRIL 2025'!V3:V7)</f>
        <v/>
      </c>
    </row>
    <row r="9">
      <c r="A9" s="7" t="inlineStr">
        <is>
          <t>MAYO 2025</t>
        </is>
      </c>
      <c r="B9" s="4">
        <f>'MAYO 2025'!B42</f>
        <v/>
      </c>
      <c r="C9" s="4">
        <f>'MAYO 2025'!B46</f>
        <v/>
      </c>
      <c r="D9" s="4">
        <f>'MAYO 2025'!B47</f>
        <v/>
      </c>
      <c r="E9" s="4">
        <f>'MAYO 2025'!B48</f>
        <v/>
      </c>
      <c r="F9" s="4">
        <f>'MAYO 2025'!B49</f>
        <v/>
      </c>
      <c r="G9" s="4">
        <f>'MAYO 2025'!B50</f>
        <v/>
      </c>
      <c r="H9" s="4">
        <f>SUM('MAYO 2025'!V3:V7)</f>
        <v/>
      </c>
    </row>
    <row r="10">
      <c r="A10" s="7" t="inlineStr">
        <is>
          <t>JUNIO 2025</t>
        </is>
      </c>
      <c r="B10" s="4">
        <f>'JUNIO 2025'!B41</f>
        <v/>
      </c>
      <c r="C10" s="4">
        <f>'JUNIO 2025'!B45</f>
        <v/>
      </c>
      <c r="D10" s="4">
        <f>'JUNIO 2025'!B46</f>
        <v/>
      </c>
      <c r="E10" s="4">
        <f>'JUNIO 2025'!B47</f>
        <v/>
      </c>
      <c r="F10" s="4">
        <f>'JUNIO 2025'!B48</f>
        <v/>
      </c>
      <c r="G10" s="4">
        <f>'JUNIO 2025'!B49</f>
        <v/>
      </c>
      <c r="H10" s="4">
        <f>SUM('JUNIO 2025'!V3:V7)</f>
        <v/>
      </c>
    </row>
    <row r="11">
      <c r="A11" s="7" t="inlineStr">
        <is>
          <t>JULIO 2025</t>
        </is>
      </c>
      <c r="B11" s="4">
        <f>'JULIO 2025'!B42</f>
        <v/>
      </c>
      <c r="C11" s="4">
        <f>'JULIO 2025'!B46</f>
        <v/>
      </c>
      <c r="D11" s="4">
        <f>'JULIO 2025'!B47</f>
        <v/>
      </c>
      <c r="E11" s="4">
        <f>'JULIO 2025'!B48</f>
        <v/>
      </c>
      <c r="F11" s="4">
        <f>'JULIO 2025'!B49</f>
        <v/>
      </c>
      <c r="G11" s="4">
        <f>'JULIO 2025'!B50</f>
        <v/>
      </c>
      <c r="H11" s="4">
        <f>SUM('JULIO 2025'!V3:V7)</f>
        <v/>
      </c>
    </row>
    <row r="12">
      <c r="A12" s="7" t="inlineStr">
        <is>
          <t>AGOSTO 2025</t>
        </is>
      </c>
      <c r="B12" s="4">
        <f>'AGOSTO 2025'!B42</f>
        <v/>
      </c>
      <c r="C12" s="4">
        <f>'AGOSTO 2025'!B46</f>
        <v/>
      </c>
      <c r="D12" s="4">
        <f>'AGOSTO 2025'!B47</f>
        <v/>
      </c>
      <c r="E12" s="4">
        <f>'AGOSTO 2025'!B48</f>
        <v/>
      </c>
      <c r="F12" s="4">
        <f>'AGOSTO 2025'!B49</f>
        <v/>
      </c>
      <c r="G12" s="4">
        <f>'AGOSTO 2025'!B50</f>
        <v/>
      </c>
      <c r="H12" s="4">
        <f>SUM('AGOSTO 2025'!V3:V7)</f>
        <v/>
      </c>
    </row>
    <row r="13">
      <c r="A13" s="7" t="inlineStr">
        <is>
          <t>SEPTIEMBRE 2025</t>
        </is>
      </c>
      <c r="B13" s="4">
        <f>'SEPTIEMBRE 2025'!B41</f>
        <v/>
      </c>
      <c r="C13" s="4">
        <f>'SEPTIEMBRE 2025'!B45</f>
        <v/>
      </c>
      <c r="D13" s="4">
        <f>'SEPTIEMBRE 2025'!B46</f>
        <v/>
      </c>
      <c r="E13" s="4">
        <f>'SEPTIEMBRE 2025'!B47</f>
        <v/>
      </c>
      <c r="F13" s="4">
        <f>'SEPTIEMBRE 2025'!B48</f>
        <v/>
      </c>
      <c r="G13" s="4">
        <f>'SEPTIEMBRE 2025'!B49</f>
        <v/>
      </c>
      <c r="H13" s="4">
        <f>SUM('SEPTIEMBRE 2025'!V3:V7)</f>
        <v/>
      </c>
    </row>
    <row r="14">
      <c r="A14" s="7" t="inlineStr">
        <is>
          <t>OCTUBRE 2025</t>
        </is>
      </c>
      <c r="B14" s="4">
        <f>'OCTUBRE 2025'!B42</f>
        <v/>
      </c>
      <c r="C14" s="4">
        <f>'OCTUBRE 2025'!B46</f>
        <v/>
      </c>
      <c r="D14" s="4">
        <f>'OCTUBRE 2025'!B47</f>
        <v/>
      </c>
      <c r="E14" s="4">
        <f>'OCTUBRE 2025'!B48</f>
        <v/>
      </c>
      <c r="F14" s="4">
        <f>'OCTUBRE 2025'!B49</f>
        <v/>
      </c>
      <c r="G14" s="4">
        <f>'OCTUBRE 2025'!B50</f>
        <v/>
      </c>
      <c r="H14" s="4">
        <f>SUM('OCTUBRE 2025'!V3:V7)</f>
        <v/>
      </c>
    </row>
    <row r="15">
      <c r="A15" s="7" t="inlineStr">
        <is>
          <t>NOVIEMBRE 2025</t>
        </is>
      </c>
      <c r="B15" s="4">
        <f>'NOVIEMBRE 2025'!B41</f>
        <v/>
      </c>
      <c r="C15" s="4">
        <f>'NOVIEMBRE 2025'!B45</f>
        <v/>
      </c>
      <c r="D15" s="4">
        <f>'NOVIEMBRE 2025'!B46</f>
        <v/>
      </c>
      <c r="E15" s="4">
        <f>'NOVIEMBRE 2025'!B47</f>
        <v/>
      </c>
      <c r="F15" s="4">
        <f>'NOVIEMBRE 2025'!B48</f>
        <v/>
      </c>
      <c r="G15" s="4">
        <f>'NOVIEMBRE 2025'!B49</f>
        <v/>
      </c>
      <c r="H15" s="4">
        <f>SUM('NOVIEMBRE 2025'!V3:V7)</f>
        <v/>
      </c>
    </row>
    <row r="16">
      <c r="A16" s="7" t="inlineStr">
        <is>
          <t>DICIEMBRE 2025</t>
        </is>
      </c>
      <c r="B16" s="4">
        <f>'DICIEMBRE 2025'!B42</f>
        <v/>
      </c>
      <c r="C16" s="4">
        <f>'DICIEMBRE 2025'!B46</f>
        <v/>
      </c>
      <c r="D16" s="4">
        <f>'DICIEMBRE 2025'!B47</f>
        <v/>
      </c>
      <c r="E16" s="4">
        <f>'DICIEMBRE 2025'!B48</f>
        <v/>
      </c>
      <c r="F16" s="4">
        <f>'DICIEMBRE 2025'!B49</f>
        <v/>
      </c>
      <c r="G16" s="4">
        <f>'DICIEMBRE 2025'!B50</f>
        <v/>
      </c>
      <c r="H16" s="4">
        <f>SUM('DICIEMBRE 2025'!V3:V7)</f>
        <v/>
      </c>
    </row>
    <row r="17">
      <c r="A17" s="7" t="inlineStr">
        <is>
          <t>ENERO 2026</t>
        </is>
      </c>
      <c r="B17" s="4">
        <f>'ENERO 2026'!B42</f>
        <v/>
      </c>
      <c r="C17" s="4">
        <f>'ENERO 2026'!B46</f>
        <v/>
      </c>
      <c r="D17" s="4">
        <f>'ENERO 2026'!B47</f>
        <v/>
      </c>
      <c r="E17" s="4">
        <f>'ENERO 2026'!B48</f>
        <v/>
      </c>
      <c r="F17" s="4">
        <f>'ENERO 2026'!B49</f>
        <v/>
      </c>
      <c r="G17" s="4">
        <f>'ENERO 2026'!B50</f>
        <v/>
      </c>
      <c r="H17" s="4">
        <f>SUM('ENERO 2026'!V3:V7)</f>
        <v/>
      </c>
    </row>
    <row r="18">
      <c r="A18" s="7" t="inlineStr">
        <is>
          <t>FEBRERO 2026</t>
        </is>
      </c>
      <c r="B18" s="4">
        <f>'FEBRERO 2026'!B39</f>
        <v/>
      </c>
      <c r="C18" s="4">
        <f>'FEBRERO 2026'!B43</f>
        <v/>
      </c>
      <c r="D18" s="4">
        <f>'FEBRERO 2026'!B44</f>
        <v/>
      </c>
      <c r="E18" s="4">
        <f>'FEBRERO 2026'!B45</f>
        <v/>
      </c>
      <c r="F18" s="4">
        <f>'FEBRERO 2026'!B46</f>
        <v/>
      </c>
      <c r="G18" s="4">
        <f>'FEBRERO 2026'!B47</f>
        <v/>
      </c>
      <c r="H18" s="4">
        <f>SUM('FEBRERO 2026'!V3:V7)</f>
        <v/>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2026-03-30T18:48:22Z</dcterms:created>
  <dcterms:modified xsi:type="dcterms:W3CDTF">2026-03-30T18:48:23Z</dcterms:modified>
</cp:coreProperties>
</file>