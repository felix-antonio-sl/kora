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PORTADA" sheetId="1" state="visible" r:id="rId1"/>
    <sheet name="01_PARAMETROS" sheetId="2" state="visible" r:id="rId2"/>
    <sheet name="02_DICCIONARIO" sheetId="3" state="visible" r:id="rId3"/>
    <sheet name="03_MIGRACION" sheetId="4" state="visible" r:id="rId4"/>
    <sheet name="DICIEMBRE 2024" sheetId="5" state="visible" r:id="rId5"/>
    <sheet name="ENERO 2025" sheetId="6" state="visible" r:id="rId6"/>
    <sheet name="FEBRERO 2025" sheetId="7" state="visible" r:id="rId7"/>
    <sheet name="MARZO 2025" sheetId="8" state="visible" r:id="rId8"/>
    <sheet name="ABRIL 2025" sheetId="9" state="visible" r:id="rId9"/>
    <sheet name="MAYO 2025" sheetId="10" state="visible" r:id="rId10"/>
    <sheet name="JUNIO 2025" sheetId="11" state="visible" r:id="rId11"/>
    <sheet name="JULIO 2025" sheetId="12" state="visible" r:id="rId12"/>
    <sheet name="AGOSTO 2025" sheetId="13" state="visible" r:id="rId13"/>
    <sheet name="SEPTIEMBRE 2025" sheetId="14" state="visible" r:id="rId14"/>
    <sheet name="OCTUBRE 2025" sheetId="15" state="visible" r:id="rId15"/>
    <sheet name="NOVIEMBRE 2025" sheetId="16" state="visible" r:id="rId16"/>
    <sheet name="DICIEMBRE 2025" sheetId="17" state="visible" r:id="rId17"/>
    <sheet name="ENERO 2026" sheetId="18" state="visible" r:id="rId18"/>
    <sheet name="FEBRERO 2026" sheetId="19" state="visible" r:id="rId19"/>
    <sheet name="90_RESUMEN_GLOBAL" sheetId="20" state="visible" r:id="rId20"/>
    <sheet name="99_CONTROL_GLOBAL" sheetId="21" state="visible" r:id="rId2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7">
    <fill>
      <patternFill/>
    </fill>
    <fill>
      <patternFill patternType="gray125"/>
    </fill>
    <fill>
      <patternFill patternType="solid">
        <fgColor rgb="00173F5F"/>
      </patternFill>
    </fill>
    <fill>
      <patternFill patternType="solid">
        <fgColor rgb="00D9EAF7"/>
      </patternFill>
    </fill>
    <fill>
      <patternFill patternType="solid">
        <fgColor rgb="00FFF2CC"/>
      </patternFill>
    </fill>
    <fill>
      <patternFill patternType="solid">
        <fgColor rgb="00EEF5FB"/>
      </patternFill>
    </fill>
    <fill>
      <patternFill patternType="solid">
        <fgColor rgb="00E2F0D9"/>
      </patternFill>
    </fill>
  </fills>
  <borders count="6">
    <border>
      <left/>
      <right/>
      <top/>
      <bottom/>
      <diagonal/>
    </border>
    <border>
      <left style="thin">
        <color rgb="00D7DEE7"/>
      </left>
      <right style="thin">
        <color rgb="00D7DEE7"/>
      </right>
      <top style="thin">
        <color rgb="00D7DEE7"/>
      </top>
      <bottom style="thin">
        <color rgb="00D7DEE7"/>
      </bottom>
    </border>
    <border>
      <left/>
      <right/>
      <top style="thin">
        <color rgb="00D7DEE7"/>
      </top>
      <bottom/>
      <diagonal/>
    </border>
    <border>
      <left/>
      <right style="thin">
        <color rgb="00D7DEE7"/>
      </right>
      <top style="thin">
        <color rgb="00D7DEE7"/>
      </top>
      <bottom/>
      <diagonal/>
    </border>
    <border>
      <left/>
      <right/>
      <top style="thin">
        <color rgb="00D7DEE7"/>
      </top>
      <bottom style="thin">
        <color rgb="00D7DEE7"/>
      </bottom>
      <diagonal/>
    </border>
    <border>
      <left/>
      <right style="thin">
        <color rgb="00D7DEE7"/>
      </right>
      <top style="thin">
        <color rgb="00D7DEE7"/>
      </top>
      <bottom style="thin">
        <color rgb="00D7DEE7"/>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2" fillId="3" borderId="1" pivotButton="0" quotePrefix="0" xfId="0"/>
    <xf numFmtId="0" fontId="0" fillId="4" borderId="1" applyProtection="1" pivotButton="0" quotePrefix="0" xfId="0">
      <protection locked="0" hidden="0"/>
    </xf>
    <xf numFmtId="0" fontId="0" fillId="0" borderId="1" pivotButton="0" quotePrefix="0" xfId="0"/>
    <xf numFmtId="0" fontId="2" fillId="5" borderId="1" pivotButton="0" quotePrefix="0" xfId="0"/>
    <xf numFmtId="0" fontId="0" fillId="6" borderId="1" pivotButton="0" quotePrefix="0" xfId="0"/>
    <xf numFmtId="0" fontId="2" fillId="5" borderId="1" applyAlignment="1" pivotButton="0" quotePrefix="0" xfId="0">
      <alignment horizontal="center" vertical="center" wrapText="1"/>
    </xf>
    <xf numFmtId="0" fontId="2" fillId="6" borderId="1" pivotButton="0" quotePrefix="0" xfId="0"/>
    <xf numFmtId="0" fontId="0" fillId="0" borderId="4" pivotButton="0" quotePrefix="0" xfId="0"/>
    <xf numFmtId="0" fontId="0" fillId="0" borderId="5" pivotButton="0" quotePrefix="0" xfId="0"/>
    <xf numFmtId="2" fontId="0" fillId="6" borderId="1" pivotButton="0" quotePrefix="0" xfId="0"/>
    <xf numFmtId="1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2" customWidth="1" min="1" max="1"/>
    <col width="24" customWidth="1" min="2" max="2"/>
    <col width="20" customWidth="1" min="3" max="3"/>
    <col width="20" customWidth="1" min="4" max="4"/>
    <col width="20" customWidth="1" min="5" max="5"/>
    <col width="20" customWidth="1" min="6" max="6"/>
  </cols>
  <sheetData>
    <row r="1">
      <c r="A1" s="1" t="inlineStr">
        <is>
          <t>HODOM - LIBRO OPERATIVO IDEAL</t>
        </is>
      </c>
    </row>
    <row r="3">
      <c r="A3" t="inlineStr">
        <is>
          <t>Para que sirve</t>
        </is>
      </c>
    </row>
    <row r="4">
      <c r="A4" t="inlineStr">
        <is>
          <t>Base nueva para reemplazar la planilla antigua sin heredar su desorden ni sus errores.</t>
        </is>
      </c>
    </row>
    <row r="5"/>
    <row r="6">
      <c r="A6" t="inlineStr">
        <is>
          <t>Que trae</t>
        </is>
      </c>
    </row>
    <row r="7">
      <c r="A7" t="inlineStr">
        <is>
          <t>1. Parametros generales.</t>
        </is>
      </c>
    </row>
    <row r="8">
      <c r="A8" t="inlineStr">
        <is>
          <t>2. Diccionario de indicadores.</t>
        </is>
      </c>
    </row>
    <row r="9">
      <c r="A9" t="inlineStr">
        <is>
          <t>3. Tracker de migracion.</t>
        </is>
      </c>
    </row>
    <row r="10">
      <c r="A10" t="inlineStr">
        <is>
          <t>4. Resumen global.</t>
        </is>
      </c>
    </row>
    <row r="11">
      <c r="A11" t="inlineStr">
        <is>
          <t>5. Una hoja mensual estandar por cada mes.</t>
        </is>
      </c>
    </row>
    <row r="12"/>
    <row r="13">
      <c r="A13" t="inlineStr">
        <is>
          <t>Como esta pensado</t>
        </is>
      </c>
    </row>
    <row r="14">
      <c r="A14" t="inlineStr">
        <is>
          <t>Las celdas amarillas son para cargar datos.</t>
        </is>
      </c>
    </row>
    <row r="15">
      <c r="A15" t="inlineStr">
        <is>
          <t>Las verdes calculan solas.</t>
        </is>
      </c>
    </row>
    <row r="16">
      <c r="A16" t="inlineStr">
        <is>
          <t>Cada hoja mensual trae control diario y resumen mensual.</t>
        </is>
      </c>
    </row>
    <row r="17">
      <c r="A17" t="inlineStr">
        <is>
          <t>Si no existe desglose por tipo, se puede cargar total informado de ingresos y/o egresos.</t>
        </is>
      </c>
    </row>
    <row r="18"/>
    <row r="19">
      <c r="A19" t="inlineStr">
        <is>
          <t>Regla base</t>
        </is>
      </c>
    </row>
    <row r="20">
      <c r="A20" t="inlineStr">
        <is>
          <t>No escribir encima de formulas. Si algo no cuadra, se corrige en la fila diaria, no en el resumen.</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4" customWidth="1" min="1" max="1"/>
    <col width="26" customWidth="1" min="2" max="2"/>
    <col width="4" customWidth="1" min="3" max="3"/>
    <col width="52" customWidth="1" min="4" max="4"/>
  </cols>
  <sheetData>
    <row r="1">
      <c r="A1" s="1" t="inlineStr">
        <is>
          <t>PARAMETROS GENERALES</t>
        </is>
      </c>
    </row>
    <row r="3">
      <c r="A3" s="2" t="inlineStr">
        <is>
          <t>Servicio</t>
        </is>
      </c>
      <c r="B3" s="3" t="inlineStr">
        <is>
          <t>HODOM</t>
        </is>
      </c>
      <c r="D3" s="2" t="inlineStr">
        <is>
          <t>Criterios fijos</t>
        </is>
      </c>
    </row>
    <row r="4">
      <c r="A4" s="2" t="inlineStr">
        <is>
          <t>Codigo</t>
        </is>
      </c>
      <c r="B4" s="3" t="inlineStr"/>
      <c r="D4" s="4" t="inlineStr">
        <is>
          <t>Pacientes atendidos = censo inicial + ingresos</t>
        </is>
      </c>
    </row>
    <row r="5">
      <c r="A5" s="2" t="inlineStr">
        <is>
          <t>Camas base por dia</t>
        </is>
      </c>
      <c r="B5" s="3" t="n">
        <v>16</v>
      </c>
      <c r="D5" s="4" t="inlineStr">
        <is>
          <t>Indice ocupacional = dias cama ocupadas / dias cama disponibles</t>
        </is>
      </c>
    </row>
    <row r="6">
      <c r="A6" s="2" t="inlineStr">
        <is>
          <t>Responsable</t>
        </is>
      </c>
      <c r="B6" s="3" t="inlineStr"/>
      <c r="D6" s="4" t="inlineStr">
        <is>
          <t>Promedio dia de estada = dias estada total / total egresos</t>
        </is>
      </c>
    </row>
    <row r="7">
      <c r="A7" s="2" t="inlineStr">
        <is>
          <t>Centro / unidad</t>
        </is>
      </c>
      <c r="B7" s="3" t="inlineStr"/>
      <c r="D7" s="4" t="inlineStr">
        <is>
          <t>Si no hay desglose, se puede usar total informado del dia</t>
        </is>
      </c>
    </row>
    <row r="8">
      <c r="A8" s="2" t="inlineStr">
        <is>
          <t>Notas generales</t>
        </is>
      </c>
      <c r="B8" s="3"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8" customWidth="1" min="1" max="1"/>
    <col width="14" customWidth="1" min="2" max="2"/>
    <col width="36" customWidth="1" min="3" max="3"/>
    <col width="58" customWidth="1" min="4" max="4"/>
  </cols>
  <sheetData>
    <row r="1">
      <c r="A1" s="1" t="inlineStr">
        <is>
          <t>DICCIONARIO DE CAMPOS E INDICADORES</t>
        </is>
      </c>
    </row>
    <row r="3">
      <c r="A3" s="5" t="inlineStr">
        <is>
          <t>Elemento</t>
        </is>
      </c>
      <c r="B3" s="5" t="inlineStr">
        <is>
          <t>Tipo</t>
        </is>
      </c>
      <c r="C3" s="5" t="inlineStr">
        <is>
          <t>Que significa</t>
        </is>
      </c>
      <c r="D3" s="5" t="inlineStr">
        <is>
          <t>Como se obtiene</t>
        </is>
      </c>
    </row>
    <row r="4">
      <c r="A4" s="2" t="inlineStr">
        <is>
          <t>Existencia dia anterior</t>
        </is>
      </c>
      <c r="B4" s="4" t="inlineStr">
        <is>
          <t>Dato / formula</t>
        </is>
      </c>
      <c r="C4" s="4" t="inlineStr">
        <is>
          <t>Pacientes con que parte el dia</t>
        </is>
      </c>
      <c r="D4" s="4" t="inlineStr">
        <is>
          <t>Dia 1 manual, resto arrastra desde camas ocupadas del dia previo</t>
        </is>
      </c>
    </row>
    <row r="5">
      <c r="A5" s="2" t="inlineStr">
        <is>
          <t>Total ingresos</t>
        </is>
      </c>
      <c r="B5" s="4" t="inlineStr">
        <is>
          <t>Formula</t>
        </is>
      </c>
      <c r="C5" s="4" t="inlineStr">
        <is>
          <t>Todos los ingresos del dia</t>
        </is>
      </c>
      <c r="D5" s="4" t="inlineStr">
        <is>
          <t>Si hay desglose usa la suma; si no, usa el total informado</t>
        </is>
      </c>
    </row>
    <row r="6">
      <c r="A6" s="2" t="inlineStr">
        <is>
          <t>Total ingresos informado</t>
        </is>
      </c>
      <c r="B6" s="4" t="inlineStr">
        <is>
          <t>Dato opcional</t>
        </is>
      </c>
      <c r="C6" s="4" t="inlineStr">
        <is>
          <t>Total del dia cuando no existe desglose</t>
        </is>
      </c>
      <c r="D6" s="4" t="inlineStr">
        <is>
          <t>Se carga solo si no hay detalle por tipo</t>
        </is>
      </c>
    </row>
    <row r="7">
      <c r="A7" s="2" t="inlineStr">
        <is>
          <t>Total egresos</t>
        </is>
      </c>
      <c r="B7" s="4" t="inlineStr">
        <is>
          <t>Formula</t>
        </is>
      </c>
      <c r="C7" s="4" t="inlineStr">
        <is>
          <t>Todos los egresos del dia</t>
        </is>
      </c>
      <c r="D7" s="4" t="inlineStr">
        <is>
          <t>Si hay desglose usa la suma; si no, usa el total informado</t>
        </is>
      </c>
    </row>
    <row r="8">
      <c r="A8" s="2" t="inlineStr">
        <is>
          <t>Total egresos informado</t>
        </is>
      </c>
      <c r="B8" s="4" t="inlineStr">
        <is>
          <t>Dato opcional</t>
        </is>
      </c>
      <c r="C8" s="4" t="inlineStr">
        <is>
          <t>Total del dia cuando no existe desglose</t>
        </is>
      </c>
      <c r="D8" s="4" t="inlineStr">
        <is>
          <t>Se carga solo si no hay detalle por tipo</t>
        </is>
      </c>
    </row>
    <row r="9">
      <c r="A9" s="2" t="inlineStr">
        <is>
          <t>Dias cama ocupadas</t>
        </is>
      </c>
      <c r="B9" s="4" t="inlineStr">
        <is>
          <t>Formula</t>
        </is>
      </c>
      <c r="C9" s="4" t="inlineStr">
        <is>
          <t>Censo final del dia</t>
        </is>
      </c>
      <c r="D9" s="4" t="inlineStr">
        <is>
          <t>Existencia inicial + ingresos - egresos</t>
        </is>
      </c>
    </row>
    <row r="10">
      <c r="A10" s="2" t="inlineStr">
        <is>
          <t>Pacientes atendidos del mes</t>
        </is>
      </c>
      <c r="B10" s="4" t="inlineStr">
        <is>
          <t>Formula</t>
        </is>
      </c>
      <c r="C10" s="4" t="inlineStr">
        <is>
          <t>Personas que pasaron por el servicio en el mes</t>
        </is>
      </c>
      <c r="D10" s="4" t="inlineStr">
        <is>
          <t>Censo inicial + ingresos totales</t>
        </is>
      </c>
    </row>
    <row r="11">
      <c r="A11" s="2" t="inlineStr">
        <is>
          <t>Dias personas atendidas</t>
        </is>
      </c>
      <c r="B11" s="4" t="inlineStr">
        <is>
          <t>Formula</t>
        </is>
      </c>
      <c r="C11" s="4" t="inlineStr">
        <is>
          <t>Acumulado de estada del mes</t>
        </is>
      </c>
      <c r="D11" s="4" t="inlineStr">
        <is>
          <t>Suma de dias estada total</t>
        </is>
      </c>
    </row>
    <row r="12">
      <c r="A12" s="2" t="inlineStr">
        <is>
          <t>Indice ocupacional</t>
        </is>
      </c>
      <c r="B12" s="4" t="inlineStr">
        <is>
          <t>Formula</t>
        </is>
      </c>
      <c r="C12" s="4" t="inlineStr">
        <is>
          <t>Nivel de ocupacion del mes</t>
        </is>
      </c>
      <c r="D12" s="4" t="inlineStr">
        <is>
          <t>Dias cama ocupadas / dias cama disponibles</t>
        </is>
      </c>
    </row>
    <row r="13">
      <c r="A13" s="2" t="inlineStr">
        <is>
          <t>Promedio dia de estada</t>
        </is>
      </c>
      <c r="B13" s="4" t="inlineStr">
        <is>
          <t>Formula</t>
        </is>
      </c>
      <c r="C13" s="4" t="inlineStr">
        <is>
          <t>Promedio de permanencia</t>
        </is>
      </c>
      <c r="D13" s="4" t="inlineStr">
        <is>
          <t>Dias estada total / total egresos</t>
        </is>
      </c>
    </row>
    <row r="14">
      <c r="A14" s="2" t="inlineStr">
        <is>
          <t>Balance del mes</t>
        </is>
      </c>
      <c r="B14" s="4" t="inlineStr">
        <is>
          <t>Control</t>
        </is>
      </c>
      <c r="C14" s="4" t="inlineStr">
        <is>
          <t>Chequea consistencia del mes</t>
        </is>
      </c>
      <c r="D14" s="4" t="inlineStr">
        <is>
          <t>Censo inicial + ingresos - egresos - censo final</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8" customWidth="1" min="1" max="1"/>
    <col width="14" customWidth="1" min="2" max="2"/>
    <col width="40" customWidth="1" min="3" max="3"/>
    <col width="18" customWidth="1" min="4" max="4"/>
    <col width="12" customWidth="1" min="5" max="5"/>
    <col width="38" customWidth="1" min="6" max="6"/>
  </cols>
  <sheetData>
    <row r="1">
      <c r="A1" s="1" t="inlineStr">
        <is>
          <t>TRACKER DE MIGRACION</t>
        </is>
      </c>
    </row>
    <row r="3">
      <c r="A3" s="5" t="inlineStr">
        <is>
          <t>Mes</t>
        </is>
      </c>
      <c r="B3" s="5" t="inlineStr">
        <is>
          <t>Estado</t>
        </is>
      </c>
      <c r="C3" s="5" t="inlineStr">
        <is>
          <t>Fuente original</t>
        </is>
      </c>
      <c r="D3" s="5" t="inlineStr">
        <is>
          <t>Migrado por</t>
        </is>
      </c>
      <c r="E3" s="5" t="inlineStr">
        <is>
          <t>Validado</t>
        </is>
      </c>
      <c r="F3" s="5" t="inlineStr">
        <is>
          <t>Notas</t>
        </is>
      </c>
    </row>
    <row r="4">
      <c r="A4" s="4" t="inlineStr">
        <is>
          <t>DICIEMBRE 2024</t>
        </is>
      </c>
      <c r="B4" s="3" t="inlineStr">
        <is>
          <t>Pendiente</t>
        </is>
      </c>
      <c r="C4" s="3" t="n"/>
      <c r="D4" s="3" t="n"/>
      <c r="E4" s="3" t="n"/>
      <c r="F4" s="3" t="n"/>
    </row>
    <row r="5">
      <c r="A5" s="4" t="inlineStr">
        <is>
          <t>ENERO 2025</t>
        </is>
      </c>
      <c r="B5" s="3" t="inlineStr">
        <is>
          <t>Pendiente</t>
        </is>
      </c>
      <c r="C5" s="3" t="n"/>
      <c r="D5" s="3" t="n"/>
      <c r="E5" s="3" t="n"/>
      <c r="F5" s="3" t="n"/>
    </row>
    <row r="6">
      <c r="A6" s="4" t="inlineStr">
        <is>
          <t>FEBRERO 2025</t>
        </is>
      </c>
      <c r="B6" s="3" t="inlineStr">
        <is>
          <t>Pendiente</t>
        </is>
      </c>
      <c r="C6" s="3" t="n"/>
      <c r="D6" s="3" t="n"/>
      <c r="E6" s="3" t="n"/>
      <c r="F6" s="3" t="n"/>
    </row>
    <row r="7">
      <c r="A7" s="4" t="inlineStr">
        <is>
          <t>MARZO 2025</t>
        </is>
      </c>
      <c r="B7" s="3" t="inlineStr">
        <is>
          <t>Pendiente</t>
        </is>
      </c>
      <c r="C7" s="3" t="n"/>
      <c r="D7" s="3" t="n"/>
      <c r="E7" s="3" t="n"/>
      <c r="F7" s="3" t="n"/>
    </row>
    <row r="8">
      <c r="A8" s="4" t="inlineStr">
        <is>
          <t>ABRIL 2025</t>
        </is>
      </c>
      <c r="B8" s="3" t="inlineStr">
        <is>
          <t>Pendiente</t>
        </is>
      </c>
      <c r="C8" s="3" t="n"/>
      <c r="D8" s="3" t="n"/>
      <c r="E8" s="3" t="n"/>
      <c r="F8" s="3" t="n"/>
    </row>
    <row r="9">
      <c r="A9" s="4" t="inlineStr">
        <is>
          <t>MAYO 2025</t>
        </is>
      </c>
      <c r="B9" s="3" t="inlineStr">
        <is>
          <t>Pendiente</t>
        </is>
      </c>
      <c r="C9" s="3" t="n"/>
      <c r="D9" s="3" t="n"/>
      <c r="E9" s="3" t="n"/>
      <c r="F9" s="3" t="n"/>
    </row>
    <row r="10">
      <c r="A10" s="4" t="inlineStr">
        <is>
          <t>JUNIO 2025</t>
        </is>
      </c>
      <c r="B10" s="3" t="inlineStr">
        <is>
          <t>Pendiente</t>
        </is>
      </c>
      <c r="C10" s="3" t="n"/>
      <c r="D10" s="3" t="n"/>
      <c r="E10" s="3" t="n"/>
      <c r="F10" s="3" t="n"/>
    </row>
    <row r="11">
      <c r="A11" s="4" t="inlineStr">
        <is>
          <t>JULIO 2025</t>
        </is>
      </c>
      <c r="B11" s="3" t="inlineStr">
        <is>
          <t>Pendiente</t>
        </is>
      </c>
      <c r="C11" s="3" t="n"/>
      <c r="D11" s="3" t="n"/>
      <c r="E11" s="3" t="n"/>
      <c r="F11" s="3" t="n"/>
    </row>
    <row r="12">
      <c r="A12" s="4" t="inlineStr">
        <is>
          <t>AGOSTO 2025</t>
        </is>
      </c>
      <c r="B12" s="3" t="inlineStr">
        <is>
          <t>Pendiente</t>
        </is>
      </c>
      <c r="C12" s="3" t="n"/>
      <c r="D12" s="3" t="n"/>
      <c r="E12" s="3" t="n"/>
      <c r="F12" s="3" t="n"/>
    </row>
    <row r="13">
      <c r="A13" s="4" t="inlineStr">
        <is>
          <t>SEPTIEMBRE 2025</t>
        </is>
      </c>
      <c r="B13" s="3" t="inlineStr">
        <is>
          <t>Pendiente</t>
        </is>
      </c>
      <c r="C13" s="3" t="n"/>
      <c r="D13" s="3" t="n"/>
      <c r="E13" s="3" t="n"/>
      <c r="F13" s="3" t="n"/>
    </row>
    <row r="14">
      <c r="A14" s="4" t="inlineStr">
        <is>
          <t>OCTUBRE 2025</t>
        </is>
      </c>
      <c r="B14" s="3" t="inlineStr">
        <is>
          <t>Pendiente</t>
        </is>
      </c>
      <c r="C14" s="3" t="n"/>
      <c r="D14" s="3" t="n"/>
      <c r="E14" s="3" t="n"/>
      <c r="F14" s="3" t="n"/>
    </row>
    <row r="15">
      <c r="A15" s="4" t="inlineStr">
        <is>
          <t>NOVIEMBRE 2025</t>
        </is>
      </c>
      <c r="B15" s="3" t="inlineStr">
        <is>
          <t>Pendiente</t>
        </is>
      </c>
      <c r="C15" s="3" t="n"/>
      <c r="D15" s="3" t="n"/>
      <c r="E15" s="3" t="n"/>
      <c r="F15" s="3" t="n"/>
    </row>
    <row r="16">
      <c r="A16" s="4" t="inlineStr">
        <is>
          <t>DICIEMBRE 2025</t>
        </is>
      </c>
      <c r="B16" s="3" t="inlineStr">
        <is>
          <t>Pendiente</t>
        </is>
      </c>
      <c r="C16" s="3" t="n"/>
      <c r="D16" s="3" t="n"/>
      <c r="E16" s="3" t="n"/>
      <c r="F16" s="3" t="n"/>
    </row>
    <row r="17">
      <c r="A17" s="4" t="inlineStr">
        <is>
          <t>ENERO 2026</t>
        </is>
      </c>
      <c r="B17" s="3" t="inlineStr">
        <is>
          <t>Pendiente</t>
        </is>
      </c>
      <c r="C17" s="3" t="n"/>
      <c r="D17" s="3" t="n"/>
      <c r="E17" s="3" t="n"/>
      <c r="F17" s="3" t="n"/>
    </row>
    <row r="18">
      <c r="A18" s="4" t="inlineStr">
        <is>
          <t>FEBRERO 2026</t>
        </is>
      </c>
      <c r="B18" s="3" t="inlineStr">
        <is>
          <t>Pendiente</t>
        </is>
      </c>
      <c r="C18" s="3" t="n"/>
      <c r="D18" s="3" t="n"/>
      <c r="E18" s="3" t="n"/>
      <c r="F18" s="3" t="n"/>
    </row>
  </sheetData>
  <mergeCells count="1">
    <mergeCell ref="A1:F1"/>
  </mergeCells>
  <dataValidations count="1">
    <dataValidation sqref="B4 B5 B6 B7 B8 B9 B10 B11 B12 B13 B14 B15 B16 B17 B18" showDropDown="0" showInputMessage="0" showErrorMessage="0" allowBlank="1" type="list">
      <formula1>"Pendiente,En carga,Validar,Listo"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DICIEMBRE 2024</t>
        </is>
      </c>
    </row>
    <row r="2">
      <c r="A2" s="2" t="inlineStr">
        <is>
          <t>Servicio</t>
        </is>
      </c>
      <c r="B2" s="6">
        <f>01_PARAMETROS!B3</f>
        <v/>
      </c>
      <c r="C2" s="2" t="inlineStr">
        <is>
          <t>Codigo</t>
        </is>
      </c>
      <c r="D2" s="6">
        <f>01_PARAMETROS!B4</f>
        <v/>
      </c>
      <c r="E2" s="2" t="inlineStr">
        <is>
          <t>Mes</t>
        </is>
      </c>
      <c r="F2" s="3" t="inlineStr">
        <is>
          <t>DICIEMBRE</t>
        </is>
      </c>
      <c r="G2" s="2" t="inlineStr">
        <is>
          <t>Ano</t>
        </is>
      </c>
      <c r="H2" s="3" t="n">
        <v>2024</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DATE(2024,12,1)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DATE(2024,12,2)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DATE(2024,12,3)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DATE(2024,12,4)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DATE(2024,12,5)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DATE(2024,12,6)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DATE(2024,12,7)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DATE(2024,12,8)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DATE(2024,12,9)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DATE(2024,12,10)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DATE(2024,12,11)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DATE(2024,12,12)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DATE(2024,12,13)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DATE(2024,12,14)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DATE(2024,12,15)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DATE(2024,12,16)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DATE(2024,12,17)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DATE(2024,12,18)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DATE(2024,12,19)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DATE(2024,12,20)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DATE(2024,12,21)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DATE(2024,12,22)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DATE(2024,12,23)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DATE(2024,12,24)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DATE(2024,12,25)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DATE(2024,12,26)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DATE(2024,12,27)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DATE(2024,12,28)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DATE(2024,12,29)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DATE(2024,12,30)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DATE(2024,12,31)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ENERO 2025</t>
        </is>
      </c>
    </row>
    <row r="2">
      <c r="A2" s="2" t="inlineStr">
        <is>
          <t>Servicio</t>
        </is>
      </c>
      <c r="B2" s="6">
        <f>01_PARAMETROS!B3</f>
        <v/>
      </c>
      <c r="C2" s="2" t="inlineStr">
        <is>
          <t>Codigo</t>
        </is>
      </c>
      <c r="D2" s="6">
        <f>01_PARAMETROS!B4</f>
        <v/>
      </c>
      <c r="E2" s="2" t="inlineStr">
        <is>
          <t>Mes</t>
        </is>
      </c>
      <c r="F2" s="3" t="inlineStr">
        <is>
          <t>ENERO</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DATE(2025,1,1)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DATE(2025,1,2)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DATE(2025,1,3)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DATE(2025,1,4)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DATE(2025,1,5)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DATE(2025,1,6)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DATE(2025,1,7)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DATE(2025,1,8)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DATE(2025,1,9)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DATE(2025,1,10)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DATE(2025,1,11)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DATE(2025,1,12)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DATE(2025,1,13)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DATE(2025,1,14)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DATE(2025,1,15)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DATE(2025,1,16)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DATE(2025,1,17)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DATE(2025,1,18)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DATE(2025,1,19)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DATE(2025,1,20)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DATE(2025,1,21)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DATE(2025,1,22)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DATE(2025,1,23)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DATE(2025,1,24)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DATE(2025,1,25)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DATE(2025,1,26)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DATE(2025,1,27)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DATE(2025,1,28)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DATE(2025,1,29)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DATE(2025,1,30)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DATE(2025,1,31)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52"/>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FEBRERO 2025</t>
        </is>
      </c>
    </row>
    <row r="2">
      <c r="A2" s="2" t="inlineStr">
        <is>
          <t>Servicio</t>
        </is>
      </c>
      <c r="B2" s="6">
        <f>01_PARAMETROS!B3</f>
        <v/>
      </c>
      <c r="C2" s="2" t="inlineStr">
        <is>
          <t>Codigo</t>
        </is>
      </c>
      <c r="D2" s="6">
        <f>01_PARAMETROS!B4</f>
        <v/>
      </c>
      <c r="E2" s="2" t="inlineStr">
        <is>
          <t>Mes</t>
        </is>
      </c>
      <c r="F2" s="3" t="inlineStr">
        <is>
          <t>FEBRERO</t>
        </is>
      </c>
      <c r="G2" s="2" t="inlineStr">
        <is>
          <t>Ano</t>
        </is>
      </c>
      <c r="H2" s="3" t="n">
        <v>2025</v>
      </c>
      <c r="I2" s="2" t="inlineStr">
        <is>
          <t>Camas base</t>
        </is>
      </c>
      <c r="J2" s="6">
        <f>01_PARAMETROS!B5</f>
        <v/>
      </c>
      <c r="K2" s="2" t="inlineStr">
        <is>
          <t>Dias del mes</t>
        </is>
      </c>
      <c r="L2" s="3" t="n">
        <v>28</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DATE(2025,2,1)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DATE(2025,2,2)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DATE(2025,2,3)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DATE(2025,2,4)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DATE(2025,2,5)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DATE(2025,2,6)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DATE(2025,2,7)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DATE(2025,2,8)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DATE(2025,2,9)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DATE(2025,2,10)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DATE(2025,2,11)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DATE(2025,2,12)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DATE(2025,2,13)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DATE(2025,2,14)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DATE(2025,2,15)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DATE(2025,2,16)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DATE(2025,2,17)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DATE(2025,2,18)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DATE(2025,2,19)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DATE(2025,2,20)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DATE(2025,2,21)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DATE(2025,2,22)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DATE(2025,2,23)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DATE(2025,2,24)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DATE(2025,2,25)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DATE(2025,2,26)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DATE(2025,2,27)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DATE(2025,2,28)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2" t="inlineStr">
        <is>
          <t>TOTAL</t>
        </is>
      </c>
      <c r="D35" s="8">
        <f>SUM(D7:D34)</f>
        <v/>
      </c>
      <c r="E35" s="8">
        <f>SUM(E7:E34)</f>
        <v/>
      </c>
      <c r="F35" s="8">
        <f>SUM(F7:F34)</f>
        <v/>
      </c>
      <c r="G35" s="8">
        <f>SUM(G7:G34)</f>
        <v/>
      </c>
      <c r="H35" s="8">
        <f>SUM(H7:H34)</f>
        <v/>
      </c>
      <c r="I35" s="8">
        <f>SUM(I7:I34)</f>
        <v/>
      </c>
      <c r="J35" s="8">
        <f>SUM(J7:J34)</f>
        <v/>
      </c>
      <c r="K35" s="8">
        <f>SUM(K7:K34)</f>
        <v/>
      </c>
      <c r="L35" s="8">
        <f>SUM(L7:L34)</f>
        <v/>
      </c>
      <c r="M35" s="8">
        <f>SUM(M7:M34)</f>
        <v/>
      </c>
      <c r="N35" s="8">
        <f>SUM(N7:N34)</f>
        <v/>
      </c>
      <c r="O35" s="8">
        <f>SUM(O7:O34)</f>
        <v/>
      </c>
      <c r="P35" s="8">
        <f>SUM(P7:P34)</f>
        <v/>
      </c>
      <c r="Q35" s="8">
        <f>SUM(Q7:Q34)</f>
        <v/>
      </c>
      <c r="R35" s="8">
        <f>SUM(R7:R34)</f>
        <v/>
      </c>
      <c r="S35" s="8">
        <f>SUM(S7:S34)</f>
        <v/>
      </c>
      <c r="T35" s="8">
        <f>SUM(T7:T34)</f>
        <v/>
      </c>
      <c r="U35" s="8">
        <f>SUM(U7:U34)</f>
        <v/>
      </c>
      <c r="V35" s="8">
        <f>SUM(V7:V34)</f>
        <v/>
      </c>
    </row>
    <row r="38">
      <c r="A38" s="2" t="inlineStr">
        <is>
          <t>RESUMEN DEL MES</t>
        </is>
      </c>
      <c r="B38" s="9" t="n"/>
      <c r="C38" s="9" t="n"/>
      <c r="D38" s="10" t="n"/>
      <c r="F38" s="2" t="inlineStr">
        <is>
          <t>CONTROL DEL MES</t>
        </is>
      </c>
      <c r="G38" s="9" t="n"/>
      <c r="H38" s="9" t="n"/>
      <c r="I38" s="10" t="n"/>
    </row>
    <row r="39">
      <c r="A39" s="5" t="inlineStr">
        <is>
          <t>Total ingresos</t>
        </is>
      </c>
      <c r="B39" s="6">
        <f>J35</f>
        <v/>
      </c>
      <c r="F39" s="5" t="inlineStr">
        <is>
          <t>Balance debe ser 0</t>
        </is>
      </c>
      <c r="G39" s="6">
        <f>IF(B50=0,"OK","REVISAR")</f>
        <v/>
      </c>
    </row>
    <row r="40">
      <c r="A40" s="5" t="inlineStr">
        <is>
          <t>Total egresos</t>
        </is>
      </c>
      <c r="B40" s="6">
        <f>O35</f>
        <v/>
      </c>
      <c r="F40" s="5" t="inlineStr">
        <is>
          <t>No debe haber ocupacion negativa</t>
        </is>
      </c>
      <c r="G40" s="6">
        <f>IF(COUNTIF(W7:W34,"OCUPACION NEGATIVA")=0,"OK","REVISAR")</f>
        <v/>
      </c>
    </row>
    <row r="41">
      <c r="A41" s="5" t="inlineStr">
        <is>
          <t>Altas hogar / otro hosp.</t>
        </is>
      </c>
      <c r="B41" s="6">
        <f>L35</f>
        <v/>
      </c>
      <c r="F41" s="5" t="inlineStr">
        <is>
          <t>No deberia faltar existencia inicial</t>
        </is>
      </c>
      <c r="G41" s="6">
        <f>IF(C7="","REVISAR","OK")</f>
        <v/>
      </c>
    </row>
    <row r="42">
      <c r="A42" s="5" t="inlineStr">
        <is>
          <t>Traslados a otro servicio</t>
        </is>
      </c>
      <c r="B42" s="6">
        <f>M35</f>
        <v/>
      </c>
      <c r="F42" s="5" t="inlineStr">
        <is>
          <t>Dias con alertas</t>
        </is>
      </c>
      <c r="G42" s="6">
        <f>B52</f>
        <v/>
      </c>
    </row>
    <row r="43">
      <c r="A43" s="5" t="inlineStr">
        <is>
          <t>Fallecidos</t>
        </is>
      </c>
      <c r="B43" s="6">
        <f>N35</f>
        <v/>
      </c>
    </row>
    <row r="44">
      <c r="A44" s="5" t="inlineStr">
        <is>
          <t>Pacientes atendidos del mes</t>
        </is>
      </c>
      <c r="B44" s="6">
        <f>C7+J35</f>
        <v/>
      </c>
    </row>
    <row r="45">
      <c r="A45" s="5" t="inlineStr">
        <is>
          <t>Dias personas atendidas</t>
        </is>
      </c>
      <c r="B45" s="6">
        <f>T35</f>
        <v/>
      </c>
    </row>
    <row r="46">
      <c r="A46" s="5" t="inlineStr">
        <is>
          <t>Promedio camas</t>
        </is>
      </c>
      <c r="B46" s="11">
        <f>AVERAGE(R7:R34)</f>
        <v/>
      </c>
    </row>
    <row r="47">
      <c r="A47" s="5" t="inlineStr">
        <is>
          <t>Indice ocupacional</t>
        </is>
      </c>
      <c r="B47" s="12">
        <f>IFERROR(S35/R35,"")</f>
        <v/>
      </c>
    </row>
    <row r="48">
      <c r="A48" s="5" t="inlineStr">
        <is>
          <t>Promedio dia de estada</t>
        </is>
      </c>
      <c r="B48" s="11">
        <f>IFERROR(T35/O35,"")</f>
        <v/>
      </c>
    </row>
    <row r="49">
      <c r="A49" s="5" t="inlineStr">
        <is>
          <t>Censo final</t>
        </is>
      </c>
      <c r="B49" s="6">
        <f>S34</f>
        <v/>
      </c>
    </row>
    <row r="50">
      <c r="A50" s="5" t="inlineStr">
        <is>
          <t>Balance del mes</t>
        </is>
      </c>
      <c r="B50" s="6">
        <f>C7+J35-O35-S34</f>
        <v/>
      </c>
    </row>
    <row r="51">
      <c r="A51" s="5" t="inlineStr">
        <is>
          <t>Dias con sobreocupacion</t>
        </is>
      </c>
      <c r="B51" s="6">
        <f>COUNTIF(W7:W34,"SOBREOCUPACION")</f>
        <v/>
      </c>
    </row>
    <row r="52">
      <c r="A52" s="5" t="inlineStr">
        <is>
          <t>Dias con alerta</t>
        </is>
      </c>
      <c r="B52" s="6">
        <f>COUNTIF(W7:W34,"&lt;&gt;OK")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38:I38"/>
    <mergeCell ref="A38:D38"/>
  </mergeCells>
  <dataValidations count="1">
    <dataValidation sqref="C7 D7 D8 D9 D10 D11 D12 D13 D14 D15 D16 D17 D18 D19 D20 D21 D22 D23 D24 D25 D26 D27 D28 D29 D30 D31 D32 D33 D34 E7 E8 E9 E10 E11 E12 E13 E14 E15 E16 E17 E18 E19 E20 E21 E22 E23 E24 E25 E26 E27 E28 E29 E30 E31 E32 E33 E34 F7 F8 F9 F10 F11 F12 F13 F14 F15 F16 F17 F18 F19 F20 F21 F22 F23 F24 F25 F26 F27 F28 F29 F30 F31 F32 F33 F34 G7 G8 G9 G10 G11 G12 G13 G14 G15 G16 G17 G18 G19 G20 G21 G22 G23 G24 G25 G26 G27 G28 G29 G30 G31 G32 G33 G34 H7 H8 H9 H10 H11 H12 H13 H14 H15 H16 H17 H18 H19 H20 H21 H22 H23 H24 H25 H26 H27 H28 H29 H30 H31 H32 H33 H34 I7 I8 I9 I10 I11 I12 I13 I14 I15 I16 I17 I18 I19 I20 I21 I22 I23 I24 I25 I26 I27 I28 I29 I30 I31 I32 I33 I34 K7 K8 K9 K10 K11 K12 K13 K14 K15 K16 K17 K18 K19 K20 K21 K22 K23 K24 K25 K26 K27 K28 K29 K30 K31 K32 K33 K34 L7 L8 L9 L10 L11 L12 L13 L14 L15 L16 L17 L18 L19 L20 L21 L22 L23 L24 L25 L26 L27 L28 L29 L30 L31 L32 L33 L34 N7 N8 N9 N10 N11 N12 N13 N14 N15 N16 N17 N18 N19 N20 N21 N22 N23 N24 N25 N26 N27 N28 N29 N30 N31 N32 N33 N34 P7 P8 P9 P10 P11 P12 P13 P14 P15 P16 P17 P18 P19 P20 P21 P22 P23 P24 P25 P26 P27 P28 P29 P30 P31 P32 P33 P34 Q7 Q8 Q9 Q10 Q11 Q12 Q13 Q14 Q15 Q16 Q17 Q18 Q19 Q20 Q21 Q22 Q23 Q24 Q25 Q26 Q27 Q28 Q29 Q30 Q31 Q32 Q33 Q34 R7 R8 R9 R10 R11 R12 R13 R14 R15 R16 R17 R18 R19 R20 R21 R22 R23 R24 R25 R26 R27 R28 R29 R30 R31 R32 R33 R34 T7 T8 T9 T10 T11 T12 T13 T14 T15 T16 T17 T18 T19 T20 T21 T22 T23 T24 T25 T26 T27 T28 T29 T30 T31 T32 T33 T34 U7 U8 U9 U10 U11 U12 U13 U14 U15 U16 U17 U18 U19 U20 U21 U22 U23 U24 U25 U26 U27 U28 U29 U30 U31 U32 U33 U34 V7 V8 V9 V10 V11 V12 V13 V14 V15 V16 V17 V18 V19 V20 V21 V22 V23 V24 V25 V26 V27 V28 V29 V30 V31 V32 V33 V34" showDropDown="0" showInputMessage="0" showErrorMessage="0" allowBlank="1" type="whole" operator="greaterThanOrEqual">
      <formula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MARZO 2025</t>
        </is>
      </c>
    </row>
    <row r="2">
      <c r="A2" s="2" t="inlineStr">
        <is>
          <t>Servicio</t>
        </is>
      </c>
      <c r="B2" s="6">
        <f>01_PARAMETROS!B3</f>
        <v/>
      </c>
      <c r="C2" s="2" t="inlineStr">
        <is>
          <t>Codigo</t>
        </is>
      </c>
      <c r="D2" s="6">
        <f>01_PARAMETROS!B4</f>
        <v/>
      </c>
      <c r="E2" s="2" t="inlineStr">
        <is>
          <t>Mes</t>
        </is>
      </c>
      <c r="F2" s="3" t="inlineStr">
        <is>
          <t>MARZO</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DATE(2025,3,1)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DATE(2025,3,2)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DATE(2025,3,3)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DATE(2025,3,4)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DATE(2025,3,5)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DATE(2025,3,6)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DATE(2025,3,7)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DATE(2025,3,8)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DATE(2025,3,9)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DATE(2025,3,10)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DATE(2025,3,11)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DATE(2025,3,12)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DATE(2025,3,13)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DATE(2025,3,14)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DATE(2025,3,15)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DATE(2025,3,16)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DATE(2025,3,17)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DATE(2025,3,18)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DATE(2025,3,19)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DATE(2025,3,20)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DATE(2025,3,21)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DATE(2025,3,22)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DATE(2025,3,23)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DATE(2025,3,24)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DATE(2025,3,25)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DATE(2025,3,26)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DATE(2025,3,27)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DATE(2025,3,28)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DATE(2025,3,29)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DATE(2025,3,30)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DATE(2025,3,31)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54"/>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ABRIL 2025</t>
        </is>
      </c>
    </row>
    <row r="2">
      <c r="A2" s="2" t="inlineStr">
        <is>
          <t>Servicio</t>
        </is>
      </c>
      <c r="B2" s="6">
        <f>01_PARAMETROS!B3</f>
        <v/>
      </c>
      <c r="C2" s="2" t="inlineStr">
        <is>
          <t>Codigo</t>
        </is>
      </c>
      <c r="D2" s="6">
        <f>01_PARAMETROS!B4</f>
        <v/>
      </c>
      <c r="E2" s="2" t="inlineStr">
        <is>
          <t>Mes</t>
        </is>
      </c>
      <c r="F2" s="3" t="inlineStr">
        <is>
          <t>ABRIL</t>
        </is>
      </c>
      <c r="G2" s="2" t="inlineStr">
        <is>
          <t>Ano</t>
        </is>
      </c>
      <c r="H2" s="3" t="n">
        <v>2025</v>
      </c>
      <c r="I2" s="2" t="inlineStr">
        <is>
          <t>Camas base</t>
        </is>
      </c>
      <c r="J2" s="6">
        <f>01_PARAMETROS!B5</f>
        <v/>
      </c>
      <c r="K2" s="2" t="inlineStr">
        <is>
          <t>Dias del mes</t>
        </is>
      </c>
      <c r="L2" s="3" t="n">
        <v>30</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DATE(2025,4,1)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DATE(2025,4,2)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DATE(2025,4,3)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DATE(2025,4,4)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DATE(2025,4,5)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DATE(2025,4,6)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DATE(2025,4,7)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DATE(2025,4,8)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DATE(2025,4,9)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DATE(2025,4,10)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DATE(2025,4,11)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DATE(2025,4,12)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DATE(2025,4,13)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DATE(2025,4,14)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DATE(2025,4,15)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DATE(2025,4,16)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DATE(2025,4,17)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DATE(2025,4,18)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DATE(2025,4,19)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DATE(2025,4,20)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DATE(2025,4,21)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DATE(2025,4,22)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DATE(2025,4,23)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DATE(2025,4,24)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DATE(2025,4,25)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DATE(2025,4,26)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DATE(2025,4,27)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DATE(2025,4,28)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DATE(2025,4,29)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DATE(2025,4,30)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2" t="inlineStr">
        <is>
          <t>TOTAL</t>
        </is>
      </c>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c r="T37" s="8">
        <f>SUM(T7:T36)</f>
        <v/>
      </c>
      <c r="U37" s="8">
        <f>SUM(U7:U36)</f>
        <v/>
      </c>
      <c r="V37" s="8">
        <f>SUM(V7:V36)</f>
        <v/>
      </c>
    </row>
    <row r="40">
      <c r="A40" s="2" t="inlineStr">
        <is>
          <t>RESUMEN DEL MES</t>
        </is>
      </c>
      <c r="B40" s="9" t="n"/>
      <c r="C40" s="9" t="n"/>
      <c r="D40" s="10" t="n"/>
      <c r="F40" s="2" t="inlineStr">
        <is>
          <t>CONTROL DEL MES</t>
        </is>
      </c>
      <c r="G40" s="9" t="n"/>
      <c r="H40" s="9" t="n"/>
      <c r="I40" s="10" t="n"/>
    </row>
    <row r="41">
      <c r="A41" s="5" t="inlineStr">
        <is>
          <t>Total ingresos</t>
        </is>
      </c>
      <c r="B41" s="6">
        <f>J37</f>
        <v/>
      </c>
      <c r="F41" s="5" t="inlineStr">
        <is>
          <t>Balance debe ser 0</t>
        </is>
      </c>
      <c r="G41" s="6">
        <f>IF(B52=0,"OK","REVISAR")</f>
        <v/>
      </c>
    </row>
    <row r="42">
      <c r="A42" s="5" t="inlineStr">
        <is>
          <t>Total egresos</t>
        </is>
      </c>
      <c r="B42" s="6">
        <f>O37</f>
        <v/>
      </c>
      <c r="F42" s="5" t="inlineStr">
        <is>
          <t>No debe haber ocupacion negativa</t>
        </is>
      </c>
      <c r="G42" s="6">
        <f>IF(COUNTIF(W7:W36,"OCUPACION NEGATIVA")=0,"OK","REVISAR")</f>
        <v/>
      </c>
    </row>
    <row r="43">
      <c r="A43" s="5" t="inlineStr">
        <is>
          <t>Altas hogar / otro hosp.</t>
        </is>
      </c>
      <c r="B43" s="6">
        <f>L37</f>
        <v/>
      </c>
      <c r="F43" s="5" t="inlineStr">
        <is>
          <t>No deberia faltar existencia inicial</t>
        </is>
      </c>
      <c r="G43" s="6">
        <f>IF(C7="","REVISAR","OK")</f>
        <v/>
      </c>
    </row>
    <row r="44">
      <c r="A44" s="5" t="inlineStr">
        <is>
          <t>Traslados a otro servicio</t>
        </is>
      </c>
      <c r="B44" s="6">
        <f>M37</f>
        <v/>
      </c>
      <c r="F44" s="5" t="inlineStr">
        <is>
          <t>Dias con alertas</t>
        </is>
      </c>
      <c r="G44" s="6">
        <f>B54</f>
        <v/>
      </c>
    </row>
    <row r="45">
      <c r="A45" s="5" t="inlineStr">
        <is>
          <t>Fallecidos</t>
        </is>
      </c>
      <c r="B45" s="6">
        <f>N37</f>
        <v/>
      </c>
    </row>
    <row r="46">
      <c r="A46" s="5" t="inlineStr">
        <is>
          <t>Pacientes atendidos del mes</t>
        </is>
      </c>
      <c r="B46" s="6">
        <f>C7+J37</f>
        <v/>
      </c>
    </row>
    <row r="47">
      <c r="A47" s="5" t="inlineStr">
        <is>
          <t>Dias personas atendidas</t>
        </is>
      </c>
      <c r="B47" s="6">
        <f>T37</f>
        <v/>
      </c>
    </row>
    <row r="48">
      <c r="A48" s="5" t="inlineStr">
        <is>
          <t>Promedio camas</t>
        </is>
      </c>
      <c r="B48" s="11">
        <f>AVERAGE(R7:R36)</f>
        <v/>
      </c>
    </row>
    <row r="49">
      <c r="A49" s="5" t="inlineStr">
        <is>
          <t>Indice ocupacional</t>
        </is>
      </c>
      <c r="B49" s="12">
        <f>IFERROR(S37/R37,"")</f>
        <v/>
      </c>
    </row>
    <row r="50">
      <c r="A50" s="5" t="inlineStr">
        <is>
          <t>Promedio dia de estada</t>
        </is>
      </c>
      <c r="B50" s="11">
        <f>IFERROR(T37/O37,"")</f>
        <v/>
      </c>
    </row>
    <row r="51">
      <c r="A51" s="5" t="inlineStr">
        <is>
          <t>Censo final</t>
        </is>
      </c>
      <c r="B51" s="6">
        <f>S36</f>
        <v/>
      </c>
    </row>
    <row r="52">
      <c r="A52" s="5" t="inlineStr">
        <is>
          <t>Balance del mes</t>
        </is>
      </c>
      <c r="B52" s="6">
        <f>C7+J37-O37-S36</f>
        <v/>
      </c>
    </row>
    <row r="53">
      <c r="A53" s="5" t="inlineStr">
        <is>
          <t>Dias con sobreocupacion</t>
        </is>
      </c>
      <c r="B53" s="6">
        <f>COUNTIF(W7:W36,"SOBREOCUPACION")</f>
        <v/>
      </c>
    </row>
    <row r="54">
      <c r="A54" s="5" t="inlineStr">
        <is>
          <t>Dias con alerta</t>
        </is>
      </c>
      <c r="B54" s="6">
        <f>COUNTIF(W7:W36,"&lt;&gt;OK")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A40:D40"/>
    <mergeCell ref="F40:I40"/>
  </mergeCells>
  <dataValidations count="1">
    <dataValidation sqref="C7 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N7 N8 N9 N10 N11 N12 N13 N14 N15 N16 N17 N18 N19 N20 N21 N22 N23 N24 N25 N26 N27 N28 N29 N30 N31 N32 N33 N34 N35 N36 P7 P8 P9 P10 P11 P12 P13 P14 P15 P16 P17 P18 P19 P20 P21 P22 P23 P24 P25 P26 P27 P28 P29 P30 P31 P32 P33 P34 P35 P36 Q7 Q8 Q9 Q10 Q11 Q12 Q13 Q14 Q15 Q16 Q17 Q18 Q19 Q20 Q21 Q22 Q23 Q24 Q25 Q26 Q27 Q28 Q29 Q30 Q31 Q32 Q33 Q34 Q35 Q36 R7 R8 R9 R10 R11 R12 R13 R14 R15 R16 R17 R18 R19 R20 R21 R22 R23 R24 R25 R26 R27 R28 R29 R30 R31 R32 R33 R34 R35 R36 T7 T8 T9 T10 T11 T12 T13 T14 T15 T16 T17 T18 T19 T20 T21 T22 T23 T24 T25 T26 T27 T28 T29 T30 T31 T32 T33 T34 T35 T36 U7 U8 U9 U10 U11 U12 U13 U14 U15 U16 U17 U18 U19 U20 U21 U22 U23 U24 U25 U26 U27 U28 U29 U30 U31 U32 U33 U34 U35 U36 V7 V8 V9 V10 V11 V12 V13 V14 V15 V16 V17 V18 V19 V20 V21 V22 V23 V24 V25 V26 V27 V28 V29 V30 V31 V32 V33 V34 V35 V36" showDropDown="0" showInputMessage="0" showErrorMessage="0" allowBlank="1" type="whole" operator="greaterThanOrEqual">
      <formula1>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MAYO 2025</t>
        </is>
      </c>
    </row>
    <row r="2">
      <c r="A2" s="2" t="inlineStr">
        <is>
          <t>Servicio</t>
        </is>
      </c>
      <c r="B2" s="6">
        <f>01_PARAMETROS!B3</f>
        <v/>
      </c>
      <c r="C2" s="2" t="inlineStr">
        <is>
          <t>Codigo</t>
        </is>
      </c>
      <c r="D2" s="6">
        <f>01_PARAMETROS!B4</f>
        <v/>
      </c>
      <c r="E2" s="2" t="inlineStr">
        <is>
          <t>Mes</t>
        </is>
      </c>
      <c r="F2" s="3" t="inlineStr">
        <is>
          <t>MAYO</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DATE(2025,5,1)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DATE(2025,5,2)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DATE(2025,5,3)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DATE(2025,5,4)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DATE(2025,5,5)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DATE(2025,5,6)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DATE(2025,5,7)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DATE(2025,5,8)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DATE(2025,5,9)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DATE(2025,5,10)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DATE(2025,5,11)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DATE(2025,5,12)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DATE(2025,5,13)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DATE(2025,5,14)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DATE(2025,5,15)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DATE(2025,5,16)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DATE(2025,5,17)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DATE(2025,5,18)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DATE(2025,5,19)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DATE(2025,5,20)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DATE(2025,5,21)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DATE(2025,5,22)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DATE(2025,5,23)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DATE(2025,5,24)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DATE(2025,5,25)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DATE(2025,5,26)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DATE(2025,5,27)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DATE(2025,5,28)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DATE(2025,5,29)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DATE(2025,5,30)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DATE(2025,5,31)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54"/>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JUNIO 2025</t>
        </is>
      </c>
    </row>
    <row r="2">
      <c r="A2" s="2" t="inlineStr">
        <is>
          <t>Servicio</t>
        </is>
      </c>
      <c r="B2" s="6">
        <f>01_PARAMETROS!B3</f>
        <v/>
      </c>
      <c r="C2" s="2" t="inlineStr">
        <is>
          <t>Codigo</t>
        </is>
      </c>
      <c r="D2" s="6">
        <f>01_PARAMETROS!B4</f>
        <v/>
      </c>
      <c r="E2" s="2" t="inlineStr">
        <is>
          <t>Mes</t>
        </is>
      </c>
      <c r="F2" s="3" t="inlineStr">
        <is>
          <t>JUNIO</t>
        </is>
      </c>
      <c r="G2" s="2" t="inlineStr">
        <is>
          <t>Ano</t>
        </is>
      </c>
      <c r="H2" s="3" t="n">
        <v>2025</v>
      </c>
      <c r="I2" s="2" t="inlineStr">
        <is>
          <t>Camas base</t>
        </is>
      </c>
      <c r="J2" s="6">
        <f>01_PARAMETROS!B5</f>
        <v/>
      </c>
      <c r="K2" s="2" t="inlineStr">
        <is>
          <t>Dias del mes</t>
        </is>
      </c>
      <c r="L2" s="3" t="n">
        <v>30</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DATE(2025,6,1)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DATE(2025,6,2)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DATE(2025,6,3)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DATE(2025,6,4)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DATE(2025,6,5)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DATE(2025,6,6)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DATE(2025,6,7)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DATE(2025,6,8)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DATE(2025,6,9)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DATE(2025,6,10)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DATE(2025,6,11)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DATE(2025,6,12)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DATE(2025,6,13)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DATE(2025,6,14)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DATE(2025,6,15)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DATE(2025,6,16)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DATE(2025,6,17)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DATE(2025,6,18)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DATE(2025,6,19)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DATE(2025,6,20)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DATE(2025,6,21)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DATE(2025,6,22)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DATE(2025,6,23)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DATE(2025,6,24)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DATE(2025,6,25)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DATE(2025,6,26)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DATE(2025,6,27)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DATE(2025,6,28)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DATE(2025,6,29)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DATE(2025,6,30)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2" t="inlineStr">
        <is>
          <t>TOTAL</t>
        </is>
      </c>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c r="T37" s="8">
        <f>SUM(T7:T36)</f>
        <v/>
      </c>
      <c r="U37" s="8">
        <f>SUM(U7:U36)</f>
        <v/>
      </c>
      <c r="V37" s="8">
        <f>SUM(V7:V36)</f>
        <v/>
      </c>
    </row>
    <row r="40">
      <c r="A40" s="2" t="inlineStr">
        <is>
          <t>RESUMEN DEL MES</t>
        </is>
      </c>
      <c r="B40" s="9" t="n"/>
      <c r="C40" s="9" t="n"/>
      <c r="D40" s="10" t="n"/>
      <c r="F40" s="2" t="inlineStr">
        <is>
          <t>CONTROL DEL MES</t>
        </is>
      </c>
      <c r="G40" s="9" t="n"/>
      <c r="H40" s="9" t="n"/>
      <c r="I40" s="10" t="n"/>
    </row>
    <row r="41">
      <c r="A41" s="5" t="inlineStr">
        <is>
          <t>Total ingresos</t>
        </is>
      </c>
      <c r="B41" s="6">
        <f>J37</f>
        <v/>
      </c>
      <c r="F41" s="5" t="inlineStr">
        <is>
          <t>Balance debe ser 0</t>
        </is>
      </c>
      <c r="G41" s="6">
        <f>IF(B52=0,"OK","REVISAR")</f>
        <v/>
      </c>
    </row>
    <row r="42">
      <c r="A42" s="5" t="inlineStr">
        <is>
          <t>Total egresos</t>
        </is>
      </c>
      <c r="B42" s="6">
        <f>O37</f>
        <v/>
      </c>
      <c r="F42" s="5" t="inlineStr">
        <is>
          <t>No debe haber ocupacion negativa</t>
        </is>
      </c>
      <c r="G42" s="6">
        <f>IF(COUNTIF(W7:W36,"OCUPACION NEGATIVA")=0,"OK","REVISAR")</f>
        <v/>
      </c>
    </row>
    <row r="43">
      <c r="A43" s="5" t="inlineStr">
        <is>
          <t>Altas hogar / otro hosp.</t>
        </is>
      </c>
      <c r="B43" s="6">
        <f>L37</f>
        <v/>
      </c>
      <c r="F43" s="5" t="inlineStr">
        <is>
          <t>No deberia faltar existencia inicial</t>
        </is>
      </c>
      <c r="G43" s="6">
        <f>IF(C7="","REVISAR","OK")</f>
        <v/>
      </c>
    </row>
    <row r="44">
      <c r="A44" s="5" t="inlineStr">
        <is>
          <t>Traslados a otro servicio</t>
        </is>
      </c>
      <c r="B44" s="6">
        <f>M37</f>
        <v/>
      </c>
      <c r="F44" s="5" t="inlineStr">
        <is>
          <t>Dias con alertas</t>
        </is>
      </c>
      <c r="G44" s="6">
        <f>B54</f>
        <v/>
      </c>
    </row>
    <row r="45">
      <c r="A45" s="5" t="inlineStr">
        <is>
          <t>Fallecidos</t>
        </is>
      </c>
      <c r="B45" s="6">
        <f>N37</f>
        <v/>
      </c>
    </row>
    <row r="46">
      <c r="A46" s="5" t="inlineStr">
        <is>
          <t>Pacientes atendidos del mes</t>
        </is>
      </c>
      <c r="B46" s="6">
        <f>C7+J37</f>
        <v/>
      </c>
    </row>
    <row r="47">
      <c r="A47" s="5" t="inlineStr">
        <is>
          <t>Dias personas atendidas</t>
        </is>
      </c>
      <c r="B47" s="6">
        <f>T37</f>
        <v/>
      </c>
    </row>
    <row r="48">
      <c r="A48" s="5" t="inlineStr">
        <is>
          <t>Promedio camas</t>
        </is>
      </c>
      <c r="B48" s="11">
        <f>AVERAGE(R7:R36)</f>
        <v/>
      </c>
    </row>
    <row r="49">
      <c r="A49" s="5" t="inlineStr">
        <is>
          <t>Indice ocupacional</t>
        </is>
      </c>
      <c r="B49" s="12">
        <f>IFERROR(S37/R37,"")</f>
        <v/>
      </c>
    </row>
    <row r="50">
      <c r="A50" s="5" t="inlineStr">
        <is>
          <t>Promedio dia de estada</t>
        </is>
      </c>
      <c r="B50" s="11">
        <f>IFERROR(T37/O37,"")</f>
        <v/>
      </c>
    </row>
    <row r="51">
      <c r="A51" s="5" t="inlineStr">
        <is>
          <t>Censo final</t>
        </is>
      </c>
      <c r="B51" s="6">
        <f>S36</f>
        <v/>
      </c>
    </row>
    <row r="52">
      <c r="A52" s="5" t="inlineStr">
        <is>
          <t>Balance del mes</t>
        </is>
      </c>
      <c r="B52" s="6">
        <f>C7+J37-O37-S36</f>
        <v/>
      </c>
    </row>
    <row r="53">
      <c r="A53" s="5" t="inlineStr">
        <is>
          <t>Dias con sobreocupacion</t>
        </is>
      </c>
      <c r="B53" s="6">
        <f>COUNTIF(W7:W36,"SOBREOCUPACION")</f>
        <v/>
      </c>
    </row>
    <row r="54">
      <c r="A54" s="5" t="inlineStr">
        <is>
          <t>Dias con alerta</t>
        </is>
      </c>
      <c r="B54" s="6">
        <f>COUNTIF(W7:W36,"&lt;&gt;OK")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A40:D40"/>
    <mergeCell ref="F40:I40"/>
  </mergeCells>
  <dataValidations count="1">
    <dataValidation sqref="C7 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N7 N8 N9 N10 N11 N12 N13 N14 N15 N16 N17 N18 N19 N20 N21 N22 N23 N24 N25 N26 N27 N28 N29 N30 N31 N32 N33 N34 N35 N36 P7 P8 P9 P10 P11 P12 P13 P14 P15 P16 P17 P18 P19 P20 P21 P22 P23 P24 P25 P26 P27 P28 P29 P30 P31 P32 P33 P34 P35 P36 Q7 Q8 Q9 Q10 Q11 Q12 Q13 Q14 Q15 Q16 Q17 Q18 Q19 Q20 Q21 Q22 Q23 Q24 Q25 Q26 Q27 Q28 Q29 Q30 Q31 Q32 Q33 Q34 Q35 Q36 R7 R8 R9 R10 R11 R12 R13 R14 R15 R16 R17 R18 R19 R20 R21 R22 R23 R24 R25 R26 R27 R28 R29 R30 R31 R32 R33 R34 R35 R36 T7 T8 T9 T10 T11 T12 T13 T14 T15 T16 T17 T18 T19 T20 T21 T22 T23 T24 T25 T26 T27 T28 T29 T30 T31 T32 T33 T34 T35 T36 U7 U8 U9 U10 U11 U12 U13 U14 U15 U16 U17 U18 U19 U20 U21 U22 U23 U24 U25 U26 U27 U28 U29 U30 U31 U32 U33 U34 U35 U36 V7 V8 V9 V10 V11 V12 V13 V14 V15 V16 V17 V18 V19 V20 V21 V22 V23 V24 V25 V26 V27 V28 V29 V30 V31 V32 V33 V34 V35 V36" showDropDown="0" showInputMessage="0" showErrorMessage="0" allowBlank="1" type="whole" operator="greaterThanOrEqual">
      <formula1>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JULIO 2025</t>
        </is>
      </c>
    </row>
    <row r="2">
      <c r="A2" s="2" t="inlineStr">
        <is>
          <t>Servicio</t>
        </is>
      </c>
      <c r="B2" s="6">
        <f>01_PARAMETROS!B3</f>
        <v/>
      </c>
      <c r="C2" s="2" t="inlineStr">
        <is>
          <t>Codigo</t>
        </is>
      </c>
      <c r="D2" s="6">
        <f>01_PARAMETROS!B4</f>
        <v/>
      </c>
      <c r="E2" s="2" t="inlineStr">
        <is>
          <t>Mes</t>
        </is>
      </c>
      <c r="F2" s="3" t="inlineStr">
        <is>
          <t>JULIO</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DATE(2025,7,1)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DATE(2025,7,2)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DATE(2025,7,3)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DATE(2025,7,4)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DATE(2025,7,5)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DATE(2025,7,6)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DATE(2025,7,7)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DATE(2025,7,8)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DATE(2025,7,9)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DATE(2025,7,10)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DATE(2025,7,11)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DATE(2025,7,12)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DATE(2025,7,13)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DATE(2025,7,14)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DATE(2025,7,15)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DATE(2025,7,16)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DATE(2025,7,17)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DATE(2025,7,18)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DATE(2025,7,19)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DATE(2025,7,20)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DATE(2025,7,21)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DATE(2025,7,22)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DATE(2025,7,23)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DATE(2025,7,24)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DATE(2025,7,25)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DATE(2025,7,26)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DATE(2025,7,27)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DATE(2025,7,28)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DATE(2025,7,29)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DATE(2025,7,30)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DATE(2025,7,31)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AGOSTO 2025</t>
        </is>
      </c>
    </row>
    <row r="2">
      <c r="A2" s="2" t="inlineStr">
        <is>
          <t>Servicio</t>
        </is>
      </c>
      <c r="B2" s="6">
        <f>01_PARAMETROS!B3</f>
        <v/>
      </c>
      <c r="C2" s="2" t="inlineStr">
        <is>
          <t>Codigo</t>
        </is>
      </c>
      <c r="D2" s="6">
        <f>01_PARAMETROS!B4</f>
        <v/>
      </c>
      <c r="E2" s="2" t="inlineStr">
        <is>
          <t>Mes</t>
        </is>
      </c>
      <c r="F2" s="3" t="inlineStr">
        <is>
          <t>AGOSTO</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DATE(2025,8,1)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DATE(2025,8,2)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DATE(2025,8,3)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DATE(2025,8,4)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DATE(2025,8,5)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DATE(2025,8,6)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DATE(2025,8,7)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DATE(2025,8,8)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DATE(2025,8,9)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DATE(2025,8,10)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DATE(2025,8,11)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DATE(2025,8,12)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DATE(2025,8,13)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DATE(2025,8,14)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DATE(2025,8,15)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DATE(2025,8,16)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DATE(2025,8,17)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DATE(2025,8,18)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DATE(2025,8,19)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DATE(2025,8,20)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DATE(2025,8,21)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DATE(2025,8,22)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DATE(2025,8,23)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DATE(2025,8,24)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DATE(2025,8,25)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DATE(2025,8,26)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DATE(2025,8,27)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DATE(2025,8,28)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DATE(2025,8,29)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DATE(2025,8,30)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DATE(2025,8,31)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Z54"/>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SEPTIEMBRE 2025</t>
        </is>
      </c>
    </row>
    <row r="2">
      <c r="A2" s="2" t="inlineStr">
        <is>
          <t>Servicio</t>
        </is>
      </c>
      <c r="B2" s="6">
        <f>01_PARAMETROS!B3</f>
        <v/>
      </c>
      <c r="C2" s="2" t="inlineStr">
        <is>
          <t>Codigo</t>
        </is>
      </c>
      <c r="D2" s="6">
        <f>01_PARAMETROS!B4</f>
        <v/>
      </c>
      <c r="E2" s="2" t="inlineStr">
        <is>
          <t>Mes</t>
        </is>
      </c>
      <c r="F2" s="3" t="inlineStr">
        <is>
          <t>SEPTIEMBRE</t>
        </is>
      </c>
      <c r="G2" s="2" t="inlineStr">
        <is>
          <t>Ano</t>
        </is>
      </c>
      <c r="H2" s="3" t="n">
        <v>2025</v>
      </c>
      <c r="I2" s="2" t="inlineStr">
        <is>
          <t>Camas base</t>
        </is>
      </c>
      <c r="J2" s="6">
        <f>01_PARAMETROS!B5</f>
        <v/>
      </c>
      <c r="K2" s="2" t="inlineStr">
        <is>
          <t>Dias del mes</t>
        </is>
      </c>
      <c r="L2" s="3" t="n">
        <v>30</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DATE(2025,9,1)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DATE(2025,9,2)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DATE(2025,9,3)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DATE(2025,9,4)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DATE(2025,9,5)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DATE(2025,9,6)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DATE(2025,9,7)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DATE(2025,9,8)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DATE(2025,9,9)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DATE(2025,9,10)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DATE(2025,9,11)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DATE(2025,9,12)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DATE(2025,9,13)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DATE(2025,9,14)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DATE(2025,9,15)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DATE(2025,9,16)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DATE(2025,9,17)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DATE(2025,9,18)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DATE(2025,9,19)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DATE(2025,9,20)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DATE(2025,9,21)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DATE(2025,9,22)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DATE(2025,9,23)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DATE(2025,9,24)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DATE(2025,9,25)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DATE(2025,9,26)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DATE(2025,9,27)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DATE(2025,9,28)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DATE(2025,9,29)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DATE(2025,9,30)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2" t="inlineStr">
        <is>
          <t>TOTAL</t>
        </is>
      </c>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c r="T37" s="8">
        <f>SUM(T7:T36)</f>
        <v/>
      </c>
      <c r="U37" s="8">
        <f>SUM(U7:U36)</f>
        <v/>
      </c>
      <c r="V37" s="8">
        <f>SUM(V7:V36)</f>
        <v/>
      </c>
    </row>
    <row r="40">
      <c r="A40" s="2" t="inlineStr">
        <is>
          <t>RESUMEN DEL MES</t>
        </is>
      </c>
      <c r="B40" s="9" t="n"/>
      <c r="C40" s="9" t="n"/>
      <c r="D40" s="10" t="n"/>
      <c r="F40" s="2" t="inlineStr">
        <is>
          <t>CONTROL DEL MES</t>
        </is>
      </c>
      <c r="G40" s="9" t="n"/>
      <c r="H40" s="9" t="n"/>
      <c r="I40" s="10" t="n"/>
    </row>
    <row r="41">
      <c r="A41" s="5" t="inlineStr">
        <is>
          <t>Total ingresos</t>
        </is>
      </c>
      <c r="B41" s="6">
        <f>J37</f>
        <v/>
      </c>
      <c r="F41" s="5" t="inlineStr">
        <is>
          <t>Balance debe ser 0</t>
        </is>
      </c>
      <c r="G41" s="6">
        <f>IF(B52=0,"OK","REVISAR")</f>
        <v/>
      </c>
    </row>
    <row r="42">
      <c r="A42" s="5" t="inlineStr">
        <is>
          <t>Total egresos</t>
        </is>
      </c>
      <c r="B42" s="6">
        <f>O37</f>
        <v/>
      </c>
      <c r="F42" s="5" t="inlineStr">
        <is>
          <t>No debe haber ocupacion negativa</t>
        </is>
      </c>
      <c r="G42" s="6">
        <f>IF(COUNTIF(W7:W36,"OCUPACION NEGATIVA")=0,"OK","REVISAR")</f>
        <v/>
      </c>
    </row>
    <row r="43">
      <c r="A43" s="5" t="inlineStr">
        <is>
          <t>Altas hogar / otro hosp.</t>
        </is>
      </c>
      <c r="B43" s="6">
        <f>L37</f>
        <v/>
      </c>
      <c r="F43" s="5" t="inlineStr">
        <is>
          <t>No deberia faltar existencia inicial</t>
        </is>
      </c>
      <c r="G43" s="6">
        <f>IF(C7="","REVISAR","OK")</f>
        <v/>
      </c>
    </row>
    <row r="44">
      <c r="A44" s="5" t="inlineStr">
        <is>
          <t>Traslados a otro servicio</t>
        </is>
      </c>
      <c r="B44" s="6">
        <f>M37</f>
        <v/>
      </c>
      <c r="F44" s="5" t="inlineStr">
        <is>
          <t>Dias con alertas</t>
        </is>
      </c>
      <c r="G44" s="6">
        <f>B54</f>
        <v/>
      </c>
    </row>
    <row r="45">
      <c r="A45" s="5" t="inlineStr">
        <is>
          <t>Fallecidos</t>
        </is>
      </c>
      <c r="B45" s="6">
        <f>N37</f>
        <v/>
      </c>
    </row>
    <row r="46">
      <c r="A46" s="5" t="inlineStr">
        <is>
          <t>Pacientes atendidos del mes</t>
        </is>
      </c>
      <c r="B46" s="6">
        <f>C7+J37</f>
        <v/>
      </c>
    </row>
    <row r="47">
      <c r="A47" s="5" t="inlineStr">
        <is>
          <t>Dias personas atendidas</t>
        </is>
      </c>
      <c r="B47" s="6">
        <f>T37</f>
        <v/>
      </c>
    </row>
    <row r="48">
      <c r="A48" s="5" t="inlineStr">
        <is>
          <t>Promedio camas</t>
        </is>
      </c>
      <c r="B48" s="11">
        <f>AVERAGE(R7:R36)</f>
        <v/>
      </c>
    </row>
    <row r="49">
      <c r="A49" s="5" t="inlineStr">
        <is>
          <t>Indice ocupacional</t>
        </is>
      </c>
      <c r="B49" s="12">
        <f>IFERROR(S37/R37,"")</f>
        <v/>
      </c>
    </row>
    <row r="50">
      <c r="A50" s="5" t="inlineStr">
        <is>
          <t>Promedio dia de estada</t>
        </is>
      </c>
      <c r="B50" s="11">
        <f>IFERROR(T37/O37,"")</f>
        <v/>
      </c>
    </row>
    <row r="51">
      <c r="A51" s="5" t="inlineStr">
        <is>
          <t>Censo final</t>
        </is>
      </c>
      <c r="B51" s="6">
        <f>S36</f>
        <v/>
      </c>
    </row>
    <row r="52">
      <c r="A52" s="5" t="inlineStr">
        <is>
          <t>Balance del mes</t>
        </is>
      </c>
      <c r="B52" s="6">
        <f>C7+J37-O37-S36</f>
        <v/>
      </c>
    </row>
    <row r="53">
      <c r="A53" s="5" t="inlineStr">
        <is>
          <t>Dias con sobreocupacion</t>
        </is>
      </c>
      <c r="B53" s="6">
        <f>COUNTIF(W7:W36,"SOBREOCUPACION")</f>
        <v/>
      </c>
    </row>
    <row r="54">
      <c r="A54" s="5" t="inlineStr">
        <is>
          <t>Dias con alerta</t>
        </is>
      </c>
      <c r="B54" s="6">
        <f>COUNTIF(W7:W36,"&lt;&gt;OK")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A40:D40"/>
    <mergeCell ref="F40:I40"/>
  </mergeCells>
  <dataValidations count="1">
    <dataValidation sqref="C7 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N7 N8 N9 N10 N11 N12 N13 N14 N15 N16 N17 N18 N19 N20 N21 N22 N23 N24 N25 N26 N27 N28 N29 N30 N31 N32 N33 N34 N35 N36 P7 P8 P9 P10 P11 P12 P13 P14 P15 P16 P17 P18 P19 P20 P21 P22 P23 P24 P25 P26 P27 P28 P29 P30 P31 P32 P33 P34 P35 P36 Q7 Q8 Q9 Q10 Q11 Q12 Q13 Q14 Q15 Q16 Q17 Q18 Q19 Q20 Q21 Q22 Q23 Q24 Q25 Q26 Q27 Q28 Q29 Q30 Q31 Q32 Q33 Q34 Q35 Q36 R7 R8 R9 R10 R11 R12 R13 R14 R15 R16 R17 R18 R19 R20 R21 R22 R23 R24 R25 R26 R27 R28 R29 R30 R31 R32 R33 R34 R35 R36 T7 T8 T9 T10 T11 T12 T13 T14 T15 T16 T17 T18 T19 T20 T21 T22 T23 T24 T25 T26 T27 T28 T29 T30 T31 T32 T33 T34 T35 T36 U7 U8 U9 U10 U11 U12 U13 U14 U15 U16 U17 U18 U19 U20 U21 U22 U23 U24 U25 U26 U27 U28 U29 U30 U31 U32 U33 U34 U35 U36 V7 V8 V9 V10 V11 V12 V13 V14 V15 V16 V17 V18 V19 V20 V21 V22 V23 V24 V25 V26 V27 V28 V29 V30 V31 V32 V33 V34 V35 V36" showDropDown="0" showInputMessage="0" showErrorMessage="0" allowBlank="1" type="whole" operator="greaterThanOrEqual">
      <formula1>0</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OCTUBRE 2025</t>
        </is>
      </c>
    </row>
    <row r="2">
      <c r="A2" s="2" t="inlineStr">
        <is>
          <t>Servicio</t>
        </is>
      </c>
      <c r="B2" s="6">
        <f>01_PARAMETROS!B3</f>
        <v/>
      </c>
      <c r="C2" s="2" t="inlineStr">
        <is>
          <t>Codigo</t>
        </is>
      </c>
      <c r="D2" s="6">
        <f>01_PARAMETROS!B4</f>
        <v/>
      </c>
      <c r="E2" s="2" t="inlineStr">
        <is>
          <t>Mes</t>
        </is>
      </c>
      <c r="F2" s="3" t="inlineStr">
        <is>
          <t>OCTUBRE</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DATE(2025,10,1)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DATE(2025,10,2)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DATE(2025,10,3)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DATE(2025,10,4)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DATE(2025,10,5)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DATE(2025,10,6)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DATE(2025,10,7)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DATE(2025,10,8)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DATE(2025,10,9)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DATE(2025,10,10)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DATE(2025,10,11)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DATE(2025,10,12)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DATE(2025,10,13)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DATE(2025,10,14)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DATE(2025,10,15)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DATE(2025,10,16)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DATE(2025,10,17)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DATE(2025,10,18)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DATE(2025,10,19)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DATE(2025,10,20)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DATE(2025,10,21)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DATE(2025,10,22)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DATE(2025,10,23)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DATE(2025,10,24)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DATE(2025,10,25)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DATE(2025,10,26)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DATE(2025,10,27)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DATE(2025,10,28)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DATE(2025,10,29)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DATE(2025,10,30)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DATE(2025,10,31)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54"/>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NOVIEMBRE 2025</t>
        </is>
      </c>
    </row>
    <row r="2">
      <c r="A2" s="2" t="inlineStr">
        <is>
          <t>Servicio</t>
        </is>
      </c>
      <c r="B2" s="6">
        <f>01_PARAMETROS!B3</f>
        <v/>
      </c>
      <c r="C2" s="2" t="inlineStr">
        <is>
          <t>Codigo</t>
        </is>
      </c>
      <c r="D2" s="6">
        <f>01_PARAMETROS!B4</f>
        <v/>
      </c>
      <c r="E2" s="2" t="inlineStr">
        <is>
          <t>Mes</t>
        </is>
      </c>
      <c r="F2" s="3" t="inlineStr">
        <is>
          <t>NOVIEMBRE</t>
        </is>
      </c>
      <c r="G2" s="2" t="inlineStr">
        <is>
          <t>Ano</t>
        </is>
      </c>
      <c r="H2" s="3" t="n">
        <v>2025</v>
      </c>
      <c r="I2" s="2" t="inlineStr">
        <is>
          <t>Camas base</t>
        </is>
      </c>
      <c r="J2" s="6">
        <f>01_PARAMETROS!B5</f>
        <v/>
      </c>
      <c r="K2" s="2" t="inlineStr">
        <is>
          <t>Dias del mes</t>
        </is>
      </c>
      <c r="L2" s="3" t="n">
        <v>30</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DATE(2025,11,1)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DATE(2025,11,2)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DATE(2025,11,3)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DATE(2025,11,4)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DATE(2025,11,5)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DATE(2025,11,6)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DATE(2025,11,7)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DATE(2025,11,8)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DATE(2025,11,9)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DATE(2025,11,10)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DATE(2025,11,11)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DATE(2025,11,12)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DATE(2025,11,13)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DATE(2025,11,14)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DATE(2025,11,15)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DATE(2025,11,16)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DATE(2025,11,17)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DATE(2025,11,18)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DATE(2025,11,19)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DATE(2025,11,20)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DATE(2025,11,21)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DATE(2025,11,22)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DATE(2025,11,23)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DATE(2025,11,24)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DATE(2025,11,25)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DATE(2025,11,26)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DATE(2025,11,27)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DATE(2025,11,28)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DATE(2025,11,29)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DATE(2025,11,30)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2" t="inlineStr">
        <is>
          <t>TOTAL</t>
        </is>
      </c>
      <c r="D37" s="8">
        <f>SUM(D7:D36)</f>
        <v/>
      </c>
      <c r="E37" s="8">
        <f>SUM(E7:E36)</f>
        <v/>
      </c>
      <c r="F37" s="8">
        <f>SUM(F7:F36)</f>
        <v/>
      </c>
      <c r="G37" s="8">
        <f>SUM(G7:G36)</f>
        <v/>
      </c>
      <c r="H37" s="8">
        <f>SUM(H7:H36)</f>
        <v/>
      </c>
      <c r="I37" s="8">
        <f>SUM(I7:I36)</f>
        <v/>
      </c>
      <c r="J37" s="8">
        <f>SUM(J7:J36)</f>
        <v/>
      </c>
      <c r="K37" s="8">
        <f>SUM(K7:K36)</f>
        <v/>
      </c>
      <c r="L37" s="8">
        <f>SUM(L7:L36)</f>
        <v/>
      </c>
      <c r="M37" s="8">
        <f>SUM(M7:M36)</f>
        <v/>
      </c>
      <c r="N37" s="8">
        <f>SUM(N7:N36)</f>
        <v/>
      </c>
      <c r="O37" s="8">
        <f>SUM(O7:O36)</f>
        <v/>
      </c>
      <c r="P37" s="8">
        <f>SUM(P7:P36)</f>
        <v/>
      </c>
      <c r="Q37" s="8">
        <f>SUM(Q7:Q36)</f>
        <v/>
      </c>
      <c r="R37" s="8">
        <f>SUM(R7:R36)</f>
        <v/>
      </c>
      <c r="S37" s="8">
        <f>SUM(S7:S36)</f>
        <v/>
      </c>
      <c r="T37" s="8">
        <f>SUM(T7:T36)</f>
        <v/>
      </c>
      <c r="U37" s="8">
        <f>SUM(U7:U36)</f>
        <v/>
      </c>
      <c r="V37" s="8">
        <f>SUM(V7:V36)</f>
        <v/>
      </c>
    </row>
    <row r="40">
      <c r="A40" s="2" t="inlineStr">
        <is>
          <t>RESUMEN DEL MES</t>
        </is>
      </c>
      <c r="B40" s="9" t="n"/>
      <c r="C40" s="9" t="n"/>
      <c r="D40" s="10" t="n"/>
      <c r="F40" s="2" t="inlineStr">
        <is>
          <t>CONTROL DEL MES</t>
        </is>
      </c>
      <c r="G40" s="9" t="n"/>
      <c r="H40" s="9" t="n"/>
      <c r="I40" s="10" t="n"/>
    </row>
    <row r="41">
      <c r="A41" s="5" t="inlineStr">
        <is>
          <t>Total ingresos</t>
        </is>
      </c>
      <c r="B41" s="6">
        <f>J37</f>
        <v/>
      </c>
      <c r="F41" s="5" t="inlineStr">
        <is>
          <t>Balance debe ser 0</t>
        </is>
      </c>
      <c r="G41" s="6">
        <f>IF(B52=0,"OK","REVISAR")</f>
        <v/>
      </c>
    </row>
    <row r="42">
      <c r="A42" s="5" t="inlineStr">
        <is>
          <t>Total egresos</t>
        </is>
      </c>
      <c r="B42" s="6">
        <f>O37</f>
        <v/>
      </c>
      <c r="F42" s="5" t="inlineStr">
        <is>
          <t>No debe haber ocupacion negativa</t>
        </is>
      </c>
      <c r="G42" s="6">
        <f>IF(COUNTIF(W7:W36,"OCUPACION NEGATIVA")=0,"OK","REVISAR")</f>
        <v/>
      </c>
    </row>
    <row r="43">
      <c r="A43" s="5" t="inlineStr">
        <is>
          <t>Altas hogar / otro hosp.</t>
        </is>
      </c>
      <c r="B43" s="6">
        <f>L37</f>
        <v/>
      </c>
      <c r="F43" s="5" t="inlineStr">
        <is>
          <t>No deberia faltar existencia inicial</t>
        </is>
      </c>
      <c r="G43" s="6">
        <f>IF(C7="","REVISAR","OK")</f>
        <v/>
      </c>
    </row>
    <row r="44">
      <c r="A44" s="5" t="inlineStr">
        <is>
          <t>Traslados a otro servicio</t>
        </is>
      </c>
      <c r="B44" s="6">
        <f>M37</f>
        <v/>
      </c>
      <c r="F44" s="5" t="inlineStr">
        <is>
          <t>Dias con alertas</t>
        </is>
      </c>
      <c r="G44" s="6">
        <f>B54</f>
        <v/>
      </c>
    </row>
    <row r="45">
      <c r="A45" s="5" t="inlineStr">
        <is>
          <t>Fallecidos</t>
        </is>
      </c>
      <c r="B45" s="6">
        <f>N37</f>
        <v/>
      </c>
    </row>
    <row r="46">
      <c r="A46" s="5" t="inlineStr">
        <is>
          <t>Pacientes atendidos del mes</t>
        </is>
      </c>
      <c r="B46" s="6">
        <f>C7+J37</f>
        <v/>
      </c>
    </row>
    <row r="47">
      <c r="A47" s="5" t="inlineStr">
        <is>
          <t>Dias personas atendidas</t>
        </is>
      </c>
      <c r="B47" s="6">
        <f>T37</f>
        <v/>
      </c>
    </row>
    <row r="48">
      <c r="A48" s="5" t="inlineStr">
        <is>
          <t>Promedio camas</t>
        </is>
      </c>
      <c r="B48" s="11">
        <f>AVERAGE(R7:R36)</f>
        <v/>
      </c>
    </row>
    <row r="49">
      <c r="A49" s="5" t="inlineStr">
        <is>
          <t>Indice ocupacional</t>
        </is>
      </c>
      <c r="B49" s="12">
        <f>IFERROR(S37/R37,"")</f>
        <v/>
      </c>
    </row>
    <row r="50">
      <c r="A50" s="5" t="inlineStr">
        <is>
          <t>Promedio dia de estada</t>
        </is>
      </c>
      <c r="B50" s="11">
        <f>IFERROR(T37/O37,"")</f>
        <v/>
      </c>
    </row>
    <row r="51">
      <c r="A51" s="5" t="inlineStr">
        <is>
          <t>Censo final</t>
        </is>
      </c>
      <c r="B51" s="6">
        <f>S36</f>
        <v/>
      </c>
    </row>
    <row r="52">
      <c r="A52" s="5" t="inlineStr">
        <is>
          <t>Balance del mes</t>
        </is>
      </c>
      <c r="B52" s="6">
        <f>C7+J37-O37-S36</f>
        <v/>
      </c>
    </row>
    <row r="53">
      <c r="A53" s="5" t="inlineStr">
        <is>
          <t>Dias con sobreocupacion</t>
        </is>
      </c>
      <c r="B53" s="6">
        <f>COUNTIF(W7:W36,"SOBREOCUPACION")</f>
        <v/>
      </c>
    </row>
    <row r="54">
      <c r="A54" s="5" t="inlineStr">
        <is>
          <t>Dias con alerta</t>
        </is>
      </c>
      <c r="B54" s="6">
        <f>COUNTIF(W7:W36,"&lt;&gt;OK")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A40:D40"/>
    <mergeCell ref="F40:I40"/>
  </mergeCells>
  <dataValidations count="1">
    <dataValidation sqref="C7 D7 D8 D9 D10 D11 D12 D13 D14 D15 D16 D17 D18 D19 D20 D21 D22 D23 D24 D25 D26 D27 D28 D29 D30 D31 D32 D33 D34 D35 D36 E7 E8 E9 E10 E11 E12 E13 E14 E15 E16 E17 E18 E19 E20 E21 E22 E23 E24 E25 E26 E27 E28 E29 E30 E31 E32 E33 E34 E35 E36 F7 F8 F9 F10 F11 F12 F13 F14 F15 F16 F17 F18 F19 F20 F21 F22 F23 F24 F25 F26 F27 F28 F29 F30 F31 F32 F33 F34 F35 F36 G7 G8 G9 G10 G11 G12 G13 G14 G15 G16 G17 G18 G19 G20 G21 G22 G23 G24 G25 G26 G27 G28 G29 G30 G31 G32 G33 G34 G35 G36 H7 H8 H9 H10 H11 H12 H13 H14 H15 H16 H17 H18 H19 H20 H21 H22 H23 H24 H25 H26 H27 H28 H29 H30 H31 H32 H33 H34 H35 H36 I7 I8 I9 I10 I11 I12 I13 I14 I15 I16 I17 I18 I19 I20 I21 I22 I23 I24 I25 I26 I27 I28 I29 I30 I31 I32 I33 I34 I35 I36 K7 K8 K9 K10 K11 K12 K13 K14 K15 K16 K17 K18 K19 K20 K21 K22 K23 K24 K25 K26 K27 K28 K29 K30 K31 K32 K33 K34 K35 K36 L7 L8 L9 L10 L11 L12 L13 L14 L15 L16 L17 L18 L19 L20 L21 L22 L23 L24 L25 L26 L27 L28 L29 L30 L31 L32 L33 L34 L35 L36 N7 N8 N9 N10 N11 N12 N13 N14 N15 N16 N17 N18 N19 N20 N21 N22 N23 N24 N25 N26 N27 N28 N29 N30 N31 N32 N33 N34 N35 N36 P7 P8 P9 P10 P11 P12 P13 P14 P15 P16 P17 P18 P19 P20 P21 P22 P23 P24 P25 P26 P27 P28 P29 P30 P31 P32 P33 P34 P35 P36 Q7 Q8 Q9 Q10 Q11 Q12 Q13 Q14 Q15 Q16 Q17 Q18 Q19 Q20 Q21 Q22 Q23 Q24 Q25 Q26 Q27 Q28 Q29 Q30 Q31 Q32 Q33 Q34 Q35 Q36 R7 R8 R9 R10 R11 R12 R13 R14 R15 R16 R17 R18 R19 R20 R21 R22 R23 R24 R25 R26 R27 R28 R29 R30 R31 R32 R33 R34 R35 R36 T7 T8 T9 T10 T11 T12 T13 T14 T15 T16 T17 T18 T19 T20 T21 T22 T23 T24 T25 T26 T27 T28 T29 T30 T31 T32 T33 T34 T35 T36 U7 U8 U9 U10 U11 U12 U13 U14 U15 U16 U17 U18 U19 U20 U21 U22 U23 U24 U25 U26 U27 U28 U29 U30 U31 U32 U33 U34 U35 U36 V7 V8 V9 V10 V11 V12 V13 V14 V15 V16 V17 V18 V19 V20 V21 V22 V23 V24 V25 V26 V27 V28 V29 V30 V31 V32 V33 V34 V35 V36" showDropDown="0" showInputMessage="0" showErrorMessage="0" allowBlank="1" type="whole" operator="greaterThanOrEqual">
      <formula1>0</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DICIEMBRE 2025</t>
        </is>
      </c>
    </row>
    <row r="2">
      <c r="A2" s="2" t="inlineStr">
        <is>
          <t>Servicio</t>
        </is>
      </c>
      <c r="B2" s="6">
        <f>01_PARAMETROS!B3</f>
        <v/>
      </c>
      <c r="C2" s="2" t="inlineStr">
        <is>
          <t>Codigo</t>
        </is>
      </c>
      <c r="D2" s="6">
        <f>01_PARAMETROS!B4</f>
        <v/>
      </c>
      <c r="E2" s="2" t="inlineStr">
        <is>
          <t>Mes</t>
        </is>
      </c>
      <c r="F2" s="3" t="inlineStr">
        <is>
          <t>DICIEMBRE</t>
        </is>
      </c>
      <c r="G2" s="2" t="inlineStr">
        <is>
          <t>Ano</t>
        </is>
      </c>
      <c r="H2" s="3" t="n">
        <v>2025</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DATE(2025,12,1)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DATE(2025,12,2)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DATE(2025,12,3)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DATE(2025,12,4)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DATE(2025,12,5)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DATE(2025,12,6)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DATE(2025,12,7)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DATE(2025,12,8)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DATE(2025,12,9)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DATE(2025,12,10)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DATE(2025,12,11)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DATE(2025,12,12)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DATE(2025,12,13)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DATE(2025,12,14)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DATE(2025,12,15)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DATE(2025,12,16)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DATE(2025,12,17)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DATE(2025,12,18)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DATE(2025,12,19)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DATE(2025,12,20)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DATE(2025,12,21)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DATE(2025,12,22)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DATE(2025,12,23)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DATE(2025,12,24)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DATE(2025,12,25)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DATE(2025,12,26)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DATE(2025,12,27)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DATE(2025,12,28)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DATE(2025,12,29)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DATE(2025,12,30)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DATE(2025,12,31)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Z55"/>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ENERO 2026</t>
        </is>
      </c>
    </row>
    <row r="2">
      <c r="A2" s="2" t="inlineStr">
        <is>
          <t>Servicio</t>
        </is>
      </c>
      <c r="B2" s="6">
        <f>01_PARAMETROS!B3</f>
        <v/>
      </c>
      <c r="C2" s="2" t="inlineStr">
        <is>
          <t>Codigo</t>
        </is>
      </c>
      <c r="D2" s="6">
        <f>01_PARAMETROS!B4</f>
        <v/>
      </c>
      <c r="E2" s="2" t="inlineStr">
        <is>
          <t>Mes</t>
        </is>
      </c>
      <c r="F2" s="3" t="inlineStr">
        <is>
          <t>ENERO</t>
        </is>
      </c>
      <c r="G2" s="2" t="inlineStr">
        <is>
          <t>Ano</t>
        </is>
      </c>
      <c r="H2" s="3" t="n">
        <v>2026</v>
      </c>
      <c r="I2" s="2" t="inlineStr">
        <is>
          <t>Camas base</t>
        </is>
      </c>
      <c r="J2" s="6">
        <f>01_PARAMETROS!B5</f>
        <v/>
      </c>
      <c r="K2" s="2" t="inlineStr">
        <is>
          <t>Dias del mes</t>
        </is>
      </c>
      <c r="L2" s="3" t="n">
        <v>31</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DATE(2026,1,1)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DATE(2026,1,2)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DATE(2026,1,3)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DATE(2026,1,4)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DATE(2026,1,5)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DATE(2026,1,6)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DATE(2026,1,7)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DATE(2026,1,8)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DATE(2026,1,9)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DATE(2026,1,10)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DATE(2026,1,11)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DATE(2026,1,12)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DATE(2026,1,13)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DATE(2026,1,14)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DATE(2026,1,15)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DATE(2026,1,16)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DATE(2026,1,17)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DATE(2026,1,18)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DATE(2026,1,19)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DATE(2026,1,20)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DATE(2026,1,21)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DATE(2026,1,22)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DATE(2026,1,23)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DATE(2026,1,24)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DATE(2026,1,25)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DATE(2026,1,26)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DATE(2026,1,27)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DATE(2026,1,28)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6">
        <f>DATE(2026,1,29)</f>
        <v/>
      </c>
      <c r="B35" s="6" t="n">
        <v>29</v>
      </c>
      <c r="C35" s="6">
        <f>Q34</f>
        <v/>
      </c>
      <c r="D35" s="3" t="n"/>
      <c r="E35" s="3" t="n"/>
      <c r="F35" s="3" t="n"/>
      <c r="G35" s="3" t="n"/>
      <c r="H35" s="3" t="n"/>
      <c r="I35" s="3" t="n"/>
      <c r="J35" s="6">
        <f>IF(COUNTA(D35:I35)&gt;0,SUM(D35:I35),IF(K35="", "", K35))</f>
        <v/>
      </c>
      <c r="K35" s="3" t="n"/>
      <c r="L35" s="3" t="n"/>
      <c r="M35" s="4" t="n"/>
      <c r="N35" s="3" t="n"/>
      <c r="O35" s="6">
        <f>IF(COUNTA(L35:N35)&gt;0,SUM(L35:N35),IF(P35="", "", P35))</f>
        <v/>
      </c>
      <c r="P35" s="3" t="n"/>
      <c r="Q35" s="3" t="n"/>
      <c r="R35" s="3" t="n"/>
      <c r="S35" s="6">
        <f>IF(OR(C35="",J35="",O35=""),"",C35+J35-O35)</f>
        <v/>
      </c>
      <c r="T35" s="3" t="n"/>
      <c r="U35" s="3" t="n"/>
      <c r="V35" s="3" t="n"/>
      <c r="W35" s="6">
        <f>IF(Z35=1,"FALTAN DATOS",IF(S35&lt;0,"OCUPACION NEGATIVA",IF(X35=1,"SOBREOCUPACION",IF(Y35&lt;&gt;0,"BALANCE RARO","OK"))))</f>
        <v/>
      </c>
      <c r="X35" s="6">
        <f>IF(AND(R35&lt;&gt;"",S35&gt;R35),1,0)</f>
        <v/>
      </c>
      <c r="Y35" s="6">
        <f>IF(OR(C35="",J35="",O35="",S35=""),"",C35+J35-O35-S35)</f>
        <v/>
      </c>
      <c r="Z35" s="6">
        <f>IF(OR(R35="",A35="",B35="",C35="",J35="",O35=""),1,0)</f>
        <v/>
      </c>
    </row>
    <row r="36">
      <c r="A36" s="6">
        <f>DATE(2026,1,30)</f>
        <v/>
      </c>
      <c r="B36" s="6" t="n">
        <v>30</v>
      </c>
      <c r="C36" s="6">
        <f>Q35</f>
        <v/>
      </c>
      <c r="D36" s="3" t="n"/>
      <c r="E36" s="3" t="n"/>
      <c r="F36" s="3" t="n"/>
      <c r="G36" s="3" t="n"/>
      <c r="H36" s="3" t="n"/>
      <c r="I36" s="3" t="n"/>
      <c r="J36" s="6">
        <f>IF(COUNTA(D36:I36)&gt;0,SUM(D36:I36),IF(K36="", "", K36))</f>
        <v/>
      </c>
      <c r="K36" s="3" t="n"/>
      <c r="L36" s="3" t="n"/>
      <c r="M36" s="4" t="n"/>
      <c r="N36" s="3" t="n"/>
      <c r="O36" s="6">
        <f>IF(COUNTA(L36:N36)&gt;0,SUM(L36:N36),IF(P36="", "", P36))</f>
        <v/>
      </c>
      <c r="P36" s="3" t="n"/>
      <c r="Q36" s="3" t="n"/>
      <c r="R36" s="3" t="n"/>
      <c r="S36" s="6">
        <f>IF(OR(C36="",J36="",O36=""),"",C36+J36-O36)</f>
        <v/>
      </c>
      <c r="T36" s="3" t="n"/>
      <c r="U36" s="3" t="n"/>
      <c r="V36" s="3" t="n"/>
      <c r="W36" s="6">
        <f>IF(Z36=1,"FALTAN DATOS",IF(S36&lt;0,"OCUPACION NEGATIVA",IF(X36=1,"SOBREOCUPACION",IF(Y36&lt;&gt;0,"BALANCE RARO","OK"))))</f>
        <v/>
      </c>
      <c r="X36" s="6">
        <f>IF(AND(R36&lt;&gt;"",S36&gt;R36),1,0)</f>
        <v/>
      </c>
      <c r="Y36" s="6">
        <f>IF(OR(C36="",J36="",O36="",S36=""),"",C36+J36-O36-S36)</f>
        <v/>
      </c>
      <c r="Z36" s="6">
        <f>IF(OR(R36="",A36="",B36="",C36="",J36="",O36=""),1,0)</f>
        <v/>
      </c>
    </row>
    <row r="37">
      <c r="A37" s="6">
        <f>DATE(2026,1,31)</f>
        <v/>
      </c>
      <c r="B37" s="6" t="n">
        <v>31</v>
      </c>
      <c r="C37" s="6">
        <f>Q36</f>
        <v/>
      </c>
      <c r="D37" s="3" t="n"/>
      <c r="E37" s="3" t="n"/>
      <c r="F37" s="3" t="n"/>
      <c r="G37" s="3" t="n"/>
      <c r="H37" s="3" t="n"/>
      <c r="I37" s="3" t="n"/>
      <c r="J37" s="6">
        <f>IF(COUNTA(D37:I37)&gt;0,SUM(D37:I37),IF(K37="", "", K37))</f>
        <v/>
      </c>
      <c r="K37" s="3" t="n"/>
      <c r="L37" s="3" t="n"/>
      <c r="M37" s="4" t="n"/>
      <c r="N37" s="3" t="n"/>
      <c r="O37" s="6">
        <f>IF(COUNTA(L37:N37)&gt;0,SUM(L37:N37),IF(P37="", "", P37))</f>
        <v/>
      </c>
      <c r="P37" s="3" t="n"/>
      <c r="Q37" s="3" t="n"/>
      <c r="R37" s="3" t="n"/>
      <c r="S37" s="6">
        <f>IF(OR(C37="",J37="",O37=""),"",C37+J37-O37)</f>
        <v/>
      </c>
      <c r="T37" s="3" t="n"/>
      <c r="U37" s="3" t="n"/>
      <c r="V37" s="3" t="n"/>
      <c r="W37" s="6">
        <f>IF(Z37=1,"FALTAN DATOS",IF(S37&lt;0,"OCUPACION NEGATIVA",IF(X37=1,"SOBREOCUPACION",IF(Y37&lt;&gt;0,"BALANCE RARO","OK"))))</f>
        <v/>
      </c>
      <c r="X37" s="6">
        <f>IF(AND(R37&lt;&gt;"",S37&gt;R37),1,0)</f>
        <v/>
      </c>
      <c r="Y37" s="6">
        <f>IF(OR(C37="",J37="",O37="",S37=""),"",C37+J37-O37-S37)</f>
        <v/>
      </c>
      <c r="Z37" s="6">
        <f>IF(OR(R37="",A37="",B37="",C37="",J37="",O37=""),1,0)</f>
        <v/>
      </c>
    </row>
    <row r="38">
      <c r="A38" s="2" t="inlineStr">
        <is>
          <t>TOTAL</t>
        </is>
      </c>
      <c r="D38" s="8">
        <f>SUM(D7:D37)</f>
        <v/>
      </c>
      <c r="E38" s="8">
        <f>SUM(E7:E37)</f>
        <v/>
      </c>
      <c r="F38" s="8">
        <f>SUM(F7:F37)</f>
        <v/>
      </c>
      <c r="G38" s="8">
        <f>SUM(G7:G37)</f>
        <v/>
      </c>
      <c r="H38" s="8">
        <f>SUM(H7:H37)</f>
        <v/>
      </c>
      <c r="I38" s="8">
        <f>SUM(I7:I37)</f>
        <v/>
      </c>
      <c r="J38" s="8">
        <f>SUM(J7:J37)</f>
        <v/>
      </c>
      <c r="K38" s="8">
        <f>SUM(K7:K37)</f>
        <v/>
      </c>
      <c r="L38" s="8">
        <f>SUM(L7:L37)</f>
        <v/>
      </c>
      <c r="M38" s="8">
        <f>SUM(M7:M37)</f>
        <v/>
      </c>
      <c r="N38" s="8">
        <f>SUM(N7:N37)</f>
        <v/>
      </c>
      <c r="O38" s="8">
        <f>SUM(O7:O37)</f>
        <v/>
      </c>
      <c r="P38" s="8">
        <f>SUM(P7:P37)</f>
        <v/>
      </c>
      <c r="Q38" s="8">
        <f>SUM(Q7:Q37)</f>
        <v/>
      </c>
      <c r="R38" s="8">
        <f>SUM(R7:R37)</f>
        <v/>
      </c>
      <c r="S38" s="8">
        <f>SUM(S7:S37)</f>
        <v/>
      </c>
      <c r="T38" s="8">
        <f>SUM(T7:T37)</f>
        <v/>
      </c>
      <c r="U38" s="8">
        <f>SUM(U7:U37)</f>
        <v/>
      </c>
      <c r="V38" s="8">
        <f>SUM(V7:V37)</f>
        <v/>
      </c>
    </row>
    <row r="41">
      <c r="A41" s="2" t="inlineStr">
        <is>
          <t>RESUMEN DEL MES</t>
        </is>
      </c>
      <c r="B41" s="9" t="n"/>
      <c r="C41" s="9" t="n"/>
      <c r="D41" s="10" t="n"/>
      <c r="F41" s="2" t="inlineStr">
        <is>
          <t>CONTROL DEL MES</t>
        </is>
      </c>
      <c r="G41" s="9" t="n"/>
      <c r="H41" s="9" t="n"/>
      <c r="I41" s="10" t="n"/>
    </row>
    <row r="42">
      <c r="A42" s="5" t="inlineStr">
        <is>
          <t>Total ingresos</t>
        </is>
      </c>
      <c r="B42" s="6">
        <f>J38</f>
        <v/>
      </c>
      <c r="F42" s="5" t="inlineStr">
        <is>
          <t>Balance debe ser 0</t>
        </is>
      </c>
      <c r="G42" s="6">
        <f>IF(B53=0,"OK","REVISAR")</f>
        <v/>
      </c>
    </row>
    <row r="43">
      <c r="A43" s="5" t="inlineStr">
        <is>
          <t>Total egresos</t>
        </is>
      </c>
      <c r="B43" s="6">
        <f>O38</f>
        <v/>
      </c>
      <c r="F43" s="5" t="inlineStr">
        <is>
          <t>No debe haber ocupacion negativa</t>
        </is>
      </c>
      <c r="G43" s="6">
        <f>IF(COUNTIF(W7:W37,"OCUPACION NEGATIVA")=0,"OK","REVISAR")</f>
        <v/>
      </c>
    </row>
    <row r="44">
      <c r="A44" s="5" t="inlineStr">
        <is>
          <t>Altas hogar / otro hosp.</t>
        </is>
      </c>
      <c r="B44" s="6">
        <f>L38</f>
        <v/>
      </c>
      <c r="F44" s="5" t="inlineStr">
        <is>
          <t>No deberia faltar existencia inicial</t>
        </is>
      </c>
      <c r="G44" s="6">
        <f>IF(C7="","REVISAR","OK")</f>
        <v/>
      </c>
    </row>
    <row r="45">
      <c r="A45" s="5" t="inlineStr">
        <is>
          <t>Traslados a otro servicio</t>
        </is>
      </c>
      <c r="B45" s="6">
        <f>M38</f>
        <v/>
      </c>
      <c r="F45" s="5" t="inlineStr">
        <is>
          <t>Dias con alertas</t>
        </is>
      </c>
      <c r="G45" s="6">
        <f>B55</f>
        <v/>
      </c>
    </row>
    <row r="46">
      <c r="A46" s="5" t="inlineStr">
        <is>
          <t>Fallecidos</t>
        </is>
      </c>
      <c r="B46" s="6">
        <f>N38</f>
        <v/>
      </c>
    </row>
    <row r="47">
      <c r="A47" s="5" t="inlineStr">
        <is>
          <t>Pacientes atendidos del mes</t>
        </is>
      </c>
      <c r="B47" s="6">
        <f>C7+J38</f>
        <v/>
      </c>
    </row>
    <row r="48">
      <c r="A48" s="5" t="inlineStr">
        <is>
          <t>Dias personas atendidas</t>
        </is>
      </c>
      <c r="B48" s="6">
        <f>T38</f>
        <v/>
      </c>
    </row>
    <row r="49">
      <c r="A49" s="5" t="inlineStr">
        <is>
          <t>Promedio camas</t>
        </is>
      </c>
      <c r="B49" s="11">
        <f>AVERAGE(R7:R37)</f>
        <v/>
      </c>
    </row>
    <row r="50">
      <c r="A50" s="5" t="inlineStr">
        <is>
          <t>Indice ocupacional</t>
        </is>
      </c>
      <c r="B50" s="12">
        <f>IFERROR(S38/R38,"")</f>
        <v/>
      </c>
    </row>
    <row r="51">
      <c r="A51" s="5" t="inlineStr">
        <is>
          <t>Promedio dia de estada</t>
        </is>
      </c>
      <c r="B51" s="11">
        <f>IFERROR(T38/O38,"")</f>
        <v/>
      </c>
    </row>
    <row r="52">
      <c r="A52" s="5" t="inlineStr">
        <is>
          <t>Censo final</t>
        </is>
      </c>
      <c r="B52" s="6">
        <f>S37</f>
        <v/>
      </c>
    </row>
    <row r="53">
      <c r="A53" s="5" t="inlineStr">
        <is>
          <t>Balance del mes</t>
        </is>
      </c>
      <c r="B53" s="6">
        <f>C7+J38-O38-S37</f>
        <v/>
      </c>
    </row>
    <row r="54">
      <c r="A54" s="5" t="inlineStr">
        <is>
          <t>Dias con sobreocupacion</t>
        </is>
      </c>
      <c r="B54" s="6">
        <f>COUNTIF(W7:W37,"SOBREOCUPACION")</f>
        <v/>
      </c>
    </row>
    <row r="55">
      <c r="A55" s="5" t="inlineStr">
        <is>
          <t>Dias con alerta</t>
        </is>
      </c>
      <c r="B55" s="6">
        <f>COUNTIF(W7:W37,"&lt;&gt;OK")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41:I41"/>
    <mergeCell ref="A41:D41"/>
  </mergeCells>
  <dataValidations count="1">
    <dataValidation sqref="C7 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K7 K8 K9 K10 K11 K12 K13 K14 K15 K16 K17 K18 K19 K20 K21 K22 K23 K24 K25 K26 K27 K28 K29 K30 K31 K32 K33 K34 K35 K36 K37 L7 L8 L9 L10 L11 L12 L13 L14 L15 L16 L17 L18 L19 L20 L21 L22 L23 L24 L25 L26 L27 L28 L29 L30 L31 L32 L33 L34 L35 L36 L37 N7 N8 N9 N10 N11 N12 N13 N14 N15 N16 N17 N18 N19 N20 N21 N22 N23 N24 N25 N26 N27 N28 N29 N30 N31 N32 N33 N34 N35 N36 N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showDropDown="0" showInputMessage="0" showErrorMessage="0" allowBlank="1" type="whole" operator="greaterThanOrEqual">
      <formula1>0</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Z52"/>
  <sheetViews>
    <sheetView showGridLines="1" workbookViewId="0">
      <pane ySplit="6" topLeftCell="A7" activePane="bottomLeft" state="frozen"/>
      <selection pane="bottomLeft" activeCell="A1" sqref="A1"/>
    </sheetView>
  </sheetViews>
  <sheetFormatPr baseColWidth="8" defaultRowHeight="15"/>
  <cols>
    <col width="12" customWidth="1" min="1" max="1"/>
    <col width="6" customWidth="1" min="2" max="2"/>
    <col width="18" customWidth="1" min="3" max="3"/>
    <col width="12" customWidth="1" min="4" max="4"/>
    <col width="18" customWidth="1" min="5" max="5"/>
    <col width="16" customWidth="1" min="6" max="6"/>
    <col width="16" customWidth="1" min="7" max="7"/>
    <col width="12" customWidth="1" min="8" max="8"/>
    <col width="12" customWidth="1" min="9" max="9"/>
    <col width="13" customWidth="1" min="10" max="10"/>
    <col width="18" customWidth="1" min="11" max="11"/>
    <col width="20" customWidth="1" min="12" max="12"/>
    <col width="21" customWidth="1" min="13" max="13"/>
    <col width="12" customWidth="1" min="14" max="14"/>
    <col width="13" customWidth="1" min="15" max="15"/>
    <col width="18" customWidth="1" min="16" max="16"/>
    <col width="16" customWidth="1" min="17" max="17"/>
    <col width="16" customWidth="1" min="18" max="18"/>
    <col width="15" customWidth="1" min="19" max="19"/>
    <col width="16" customWidth="1" min="20" max="20"/>
    <col width="16" customWidth="1" min="21" max="21"/>
    <col width="24" customWidth="1" min="22" max="22"/>
    <col width="18" customWidth="1" min="23" max="23"/>
    <col hidden="1" width="12" customWidth="1" min="24" max="24"/>
    <col hidden="1" width="12" customWidth="1" min="25" max="25"/>
    <col hidden="1" width="12" customWidth="1" min="26" max="26"/>
  </cols>
  <sheetData>
    <row r="1">
      <c r="A1" s="1" t="inlineStr">
        <is>
          <t>HODOM - FEBRERO 2026</t>
        </is>
      </c>
    </row>
    <row r="2">
      <c r="A2" s="2" t="inlineStr">
        <is>
          <t>Servicio</t>
        </is>
      </c>
      <c r="B2" s="6">
        <f>01_PARAMETROS!B3</f>
        <v/>
      </c>
      <c r="C2" s="2" t="inlineStr">
        <is>
          <t>Codigo</t>
        </is>
      </c>
      <c r="D2" s="6">
        <f>01_PARAMETROS!B4</f>
        <v/>
      </c>
      <c r="E2" s="2" t="inlineStr">
        <is>
          <t>Mes</t>
        </is>
      </c>
      <c r="F2" s="3" t="inlineStr">
        <is>
          <t>FEBRERO</t>
        </is>
      </c>
      <c r="G2" s="2" t="inlineStr">
        <is>
          <t>Ano</t>
        </is>
      </c>
      <c r="H2" s="3" t="n">
        <v>2026</v>
      </c>
      <c r="I2" s="2" t="inlineStr">
        <is>
          <t>Camas base</t>
        </is>
      </c>
      <c r="J2" s="6">
        <f>01_PARAMETROS!B5</f>
        <v/>
      </c>
      <c r="K2" s="2" t="inlineStr">
        <is>
          <t>Dias del mes</t>
        </is>
      </c>
      <c r="L2" s="3" t="n">
        <v>28</v>
      </c>
    </row>
    <row r="6">
      <c r="A6" s="7" t="inlineStr">
        <is>
          <t>Fecha</t>
        </is>
      </c>
      <c r="B6" s="7" t="inlineStr">
        <is>
          <t>Dia</t>
        </is>
      </c>
      <c r="C6" s="7" t="inlineStr">
        <is>
          <t>Existencia inicial</t>
        </is>
      </c>
      <c r="D6" s="7" t="inlineStr">
        <is>
          <t>Ing. urgencia</t>
        </is>
      </c>
      <c r="E6" s="7" t="inlineStr">
        <is>
          <t>Ing. hospitalizacion</t>
        </is>
      </c>
      <c r="F6" s="7" t="inlineStr">
        <is>
          <t>Ing. ambulatorio</t>
        </is>
      </c>
      <c r="G6" s="7" t="inlineStr">
        <is>
          <t>Ing. ley urgencia</t>
        </is>
      </c>
      <c r="H6" s="7" t="inlineStr">
        <is>
          <t>Ing. UGCC</t>
        </is>
      </c>
      <c r="I6" s="7" t="inlineStr">
        <is>
          <t>Ing. traslado</t>
        </is>
      </c>
      <c r="J6" s="7" t="inlineStr">
        <is>
          <t>Total ingresos</t>
        </is>
      </c>
      <c r="K6" s="7" t="inlineStr">
        <is>
          <t>Total ingresos informado</t>
        </is>
      </c>
      <c r="L6" s="7" t="inlineStr">
        <is>
          <t>Alta hogar / otro hosp.</t>
        </is>
      </c>
      <c r="M6" s="7" t="inlineStr">
        <is>
          <t>Traslado a otro servicio</t>
        </is>
      </c>
      <c r="N6" s="7" t="inlineStr">
        <is>
          <t>Fallecidos</t>
        </is>
      </c>
      <c r="O6" s="7" t="inlineStr">
        <is>
          <t>Total egresos</t>
        </is>
      </c>
      <c r="P6" s="7" t="inlineStr">
        <is>
          <t>Total egresos informado</t>
        </is>
      </c>
      <c r="Q6" s="7" t="inlineStr">
        <is>
          <t>Ingr.-egr. mismo dia</t>
        </is>
      </c>
      <c r="R6" s="7" t="inlineStr">
        <is>
          <t>Camas disponibles</t>
        </is>
      </c>
      <c r="S6" s="7" t="inlineStr">
        <is>
          <t>Camas ocupadas</t>
        </is>
      </c>
      <c r="T6" s="7" t="inlineStr">
        <is>
          <t>Dias estada total</t>
        </is>
      </c>
      <c r="U6" s="7" t="inlineStr">
        <is>
          <t>Dias estada benef.</t>
        </is>
      </c>
      <c r="V6" s="7" t="inlineStr">
        <is>
          <t>Observaciones</t>
        </is>
      </c>
      <c r="W6" s="7" t="inlineStr">
        <is>
          <t>Estado dia</t>
        </is>
      </c>
      <c r="X6" s="7" t="inlineStr">
        <is>
          <t>Check camas</t>
        </is>
      </c>
      <c r="Y6" s="7" t="inlineStr">
        <is>
          <t>Check balance</t>
        </is>
      </c>
      <c r="Z6" s="7" t="inlineStr">
        <is>
          <t>Check faltantes</t>
        </is>
      </c>
    </row>
    <row r="7">
      <c r="A7" s="6">
        <f>DATE(2026,2,1)</f>
        <v/>
      </c>
      <c r="B7" s="6" t="n">
        <v>1</v>
      </c>
      <c r="C7" s="3" t="n"/>
      <c r="D7" s="3" t="n"/>
      <c r="E7" s="3" t="n"/>
      <c r="F7" s="3" t="n"/>
      <c r="G7" s="3" t="n"/>
      <c r="H7" s="3" t="n"/>
      <c r="I7" s="3" t="n"/>
      <c r="J7" s="6">
        <f>IF(COUNTA(D7:I7)&gt;0,SUM(D7:I7),IF(K7="", "", K7))</f>
        <v/>
      </c>
      <c r="K7" s="3" t="n"/>
      <c r="L7" s="3" t="n"/>
      <c r="M7" s="4" t="n"/>
      <c r="N7" s="3" t="n"/>
      <c r="O7" s="6">
        <f>IF(COUNTA(L7:N7)&gt;0,SUM(L7:N7),IF(P7="", "", P7))</f>
        <v/>
      </c>
      <c r="P7" s="3" t="n"/>
      <c r="Q7" s="3" t="n"/>
      <c r="R7" s="3" t="n"/>
      <c r="S7" s="6">
        <f>IF(OR(C7="",J7="",O7=""),"",C7+J7-O7)</f>
        <v/>
      </c>
      <c r="T7" s="3" t="n"/>
      <c r="U7" s="3" t="n"/>
      <c r="V7" s="3" t="n"/>
      <c r="W7" s="6">
        <f>IF(Z7=1,"FALTAN DATOS",IF(S7&lt;0,"OCUPACION NEGATIVA",IF(X7=1,"SOBREOCUPACION",IF(Y7&lt;&gt;0,"BALANCE RARO","OK"))))</f>
        <v/>
      </c>
      <c r="X7" s="6">
        <f>IF(AND(R7&lt;&gt;"",S7&gt;R7),1,0)</f>
        <v/>
      </c>
      <c r="Y7" s="6">
        <f>IF(OR(C7="",J7="",O7="",S7=""),"",C7+J7-O7-S7)</f>
        <v/>
      </c>
      <c r="Z7" s="6">
        <f>IF(OR(R7="",A7="",B7="",C7="",J7="",O7=""),1,0)</f>
        <v/>
      </c>
    </row>
    <row r="8">
      <c r="A8" s="6">
        <f>DATE(2026,2,2)</f>
        <v/>
      </c>
      <c r="B8" s="6" t="n">
        <v>2</v>
      </c>
      <c r="C8" s="6">
        <f>Q7</f>
        <v/>
      </c>
      <c r="D8" s="3" t="n"/>
      <c r="E8" s="3" t="n"/>
      <c r="F8" s="3" t="n"/>
      <c r="G8" s="3" t="n"/>
      <c r="H8" s="3" t="n"/>
      <c r="I8" s="3" t="n"/>
      <c r="J8" s="6">
        <f>IF(COUNTA(D8:I8)&gt;0,SUM(D8:I8),IF(K8="", "", K8))</f>
        <v/>
      </c>
      <c r="K8" s="3" t="n"/>
      <c r="L8" s="3" t="n"/>
      <c r="M8" s="4" t="n"/>
      <c r="N8" s="3" t="n"/>
      <c r="O8" s="6">
        <f>IF(COUNTA(L8:N8)&gt;0,SUM(L8:N8),IF(P8="", "", P8))</f>
        <v/>
      </c>
      <c r="P8" s="3" t="n"/>
      <c r="Q8" s="3" t="n"/>
      <c r="R8" s="3" t="n"/>
      <c r="S8" s="6">
        <f>IF(OR(C8="",J8="",O8=""),"",C8+J8-O8)</f>
        <v/>
      </c>
      <c r="T8" s="3" t="n"/>
      <c r="U8" s="3" t="n"/>
      <c r="V8" s="3" t="n"/>
      <c r="W8" s="6">
        <f>IF(Z8=1,"FALTAN DATOS",IF(S8&lt;0,"OCUPACION NEGATIVA",IF(X8=1,"SOBREOCUPACION",IF(Y8&lt;&gt;0,"BALANCE RARO","OK"))))</f>
        <v/>
      </c>
      <c r="X8" s="6">
        <f>IF(AND(R8&lt;&gt;"",S8&gt;R8),1,0)</f>
        <v/>
      </c>
      <c r="Y8" s="6">
        <f>IF(OR(C8="",J8="",O8="",S8=""),"",C8+J8-O8-S8)</f>
        <v/>
      </c>
      <c r="Z8" s="6">
        <f>IF(OR(R8="",A8="",B8="",C8="",J8="",O8=""),1,0)</f>
        <v/>
      </c>
    </row>
    <row r="9">
      <c r="A9" s="6">
        <f>DATE(2026,2,3)</f>
        <v/>
      </c>
      <c r="B9" s="6" t="n">
        <v>3</v>
      </c>
      <c r="C9" s="6">
        <f>Q8</f>
        <v/>
      </c>
      <c r="D9" s="3" t="n"/>
      <c r="E9" s="3" t="n"/>
      <c r="F9" s="3" t="n"/>
      <c r="G9" s="3" t="n"/>
      <c r="H9" s="3" t="n"/>
      <c r="I9" s="3" t="n"/>
      <c r="J9" s="6">
        <f>IF(COUNTA(D9:I9)&gt;0,SUM(D9:I9),IF(K9="", "", K9))</f>
        <v/>
      </c>
      <c r="K9" s="3" t="n"/>
      <c r="L9" s="3" t="n"/>
      <c r="M9" s="4" t="n"/>
      <c r="N9" s="3" t="n"/>
      <c r="O9" s="6">
        <f>IF(COUNTA(L9:N9)&gt;0,SUM(L9:N9),IF(P9="", "", P9))</f>
        <v/>
      </c>
      <c r="P9" s="3" t="n"/>
      <c r="Q9" s="3" t="n"/>
      <c r="R9" s="3" t="n"/>
      <c r="S9" s="6">
        <f>IF(OR(C9="",J9="",O9=""),"",C9+J9-O9)</f>
        <v/>
      </c>
      <c r="T9" s="3" t="n"/>
      <c r="U9" s="3" t="n"/>
      <c r="V9" s="3" t="n"/>
      <c r="W9" s="6">
        <f>IF(Z9=1,"FALTAN DATOS",IF(S9&lt;0,"OCUPACION NEGATIVA",IF(X9=1,"SOBREOCUPACION",IF(Y9&lt;&gt;0,"BALANCE RARO","OK"))))</f>
        <v/>
      </c>
      <c r="X9" s="6">
        <f>IF(AND(R9&lt;&gt;"",S9&gt;R9),1,0)</f>
        <v/>
      </c>
      <c r="Y9" s="6">
        <f>IF(OR(C9="",J9="",O9="",S9=""),"",C9+J9-O9-S9)</f>
        <v/>
      </c>
      <c r="Z9" s="6">
        <f>IF(OR(R9="",A9="",B9="",C9="",J9="",O9=""),1,0)</f>
        <v/>
      </c>
    </row>
    <row r="10">
      <c r="A10" s="6">
        <f>DATE(2026,2,4)</f>
        <v/>
      </c>
      <c r="B10" s="6" t="n">
        <v>4</v>
      </c>
      <c r="C10" s="6">
        <f>Q9</f>
        <v/>
      </c>
      <c r="D10" s="3" t="n"/>
      <c r="E10" s="3" t="n"/>
      <c r="F10" s="3" t="n"/>
      <c r="G10" s="3" t="n"/>
      <c r="H10" s="3" t="n"/>
      <c r="I10" s="3" t="n"/>
      <c r="J10" s="6">
        <f>IF(COUNTA(D10:I10)&gt;0,SUM(D10:I10),IF(K10="", "", K10))</f>
        <v/>
      </c>
      <c r="K10" s="3" t="n"/>
      <c r="L10" s="3" t="n"/>
      <c r="M10" s="4" t="n"/>
      <c r="N10" s="3" t="n"/>
      <c r="O10" s="6">
        <f>IF(COUNTA(L10:N10)&gt;0,SUM(L10:N10),IF(P10="", "", P10))</f>
        <v/>
      </c>
      <c r="P10" s="3" t="n"/>
      <c r="Q10" s="3" t="n"/>
      <c r="R10" s="3" t="n"/>
      <c r="S10" s="6">
        <f>IF(OR(C10="",J10="",O10=""),"",C10+J10-O10)</f>
        <v/>
      </c>
      <c r="T10" s="3" t="n"/>
      <c r="U10" s="3" t="n"/>
      <c r="V10" s="3" t="n"/>
      <c r="W10" s="6">
        <f>IF(Z10=1,"FALTAN DATOS",IF(S10&lt;0,"OCUPACION NEGATIVA",IF(X10=1,"SOBREOCUPACION",IF(Y10&lt;&gt;0,"BALANCE RARO","OK"))))</f>
        <v/>
      </c>
      <c r="X10" s="6">
        <f>IF(AND(R10&lt;&gt;"",S10&gt;R10),1,0)</f>
        <v/>
      </c>
      <c r="Y10" s="6">
        <f>IF(OR(C10="",J10="",O10="",S10=""),"",C10+J10-O10-S10)</f>
        <v/>
      </c>
      <c r="Z10" s="6">
        <f>IF(OR(R10="",A10="",B10="",C10="",J10="",O10=""),1,0)</f>
        <v/>
      </c>
    </row>
    <row r="11">
      <c r="A11" s="6">
        <f>DATE(2026,2,5)</f>
        <v/>
      </c>
      <c r="B11" s="6" t="n">
        <v>5</v>
      </c>
      <c r="C11" s="6">
        <f>Q10</f>
        <v/>
      </c>
      <c r="D11" s="3" t="n"/>
      <c r="E11" s="3" t="n"/>
      <c r="F11" s="3" t="n"/>
      <c r="G11" s="3" t="n"/>
      <c r="H11" s="3" t="n"/>
      <c r="I11" s="3" t="n"/>
      <c r="J11" s="6">
        <f>IF(COUNTA(D11:I11)&gt;0,SUM(D11:I11),IF(K11="", "", K11))</f>
        <v/>
      </c>
      <c r="K11" s="3" t="n"/>
      <c r="L11" s="3" t="n"/>
      <c r="M11" s="4" t="n"/>
      <c r="N11" s="3" t="n"/>
      <c r="O11" s="6">
        <f>IF(COUNTA(L11:N11)&gt;0,SUM(L11:N11),IF(P11="", "", P11))</f>
        <v/>
      </c>
      <c r="P11" s="3" t="n"/>
      <c r="Q11" s="3" t="n"/>
      <c r="R11" s="3" t="n"/>
      <c r="S11" s="6">
        <f>IF(OR(C11="",J11="",O11=""),"",C11+J11-O11)</f>
        <v/>
      </c>
      <c r="T11" s="3" t="n"/>
      <c r="U11" s="3" t="n"/>
      <c r="V11" s="3" t="n"/>
      <c r="W11" s="6">
        <f>IF(Z11=1,"FALTAN DATOS",IF(S11&lt;0,"OCUPACION NEGATIVA",IF(X11=1,"SOBREOCUPACION",IF(Y11&lt;&gt;0,"BALANCE RARO","OK"))))</f>
        <v/>
      </c>
      <c r="X11" s="6">
        <f>IF(AND(R11&lt;&gt;"",S11&gt;R11),1,0)</f>
        <v/>
      </c>
      <c r="Y11" s="6">
        <f>IF(OR(C11="",J11="",O11="",S11=""),"",C11+J11-O11-S11)</f>
        <v/>
      </c>
      <c r="Z11" s="6">
        <f>IF(OR(R11="",A11="",B11="",C11="",J11="",O11=""),1,0)</f>
        <v/>
      </c>
    </row>
    <row r="12">
      <c r="A12" s="6">
        <f>DATE(2026,2,6)</f>
        <v/>
      </c>
      <c r="B12" s="6" t="n">
        <v>6</v>
      </c>
      <c r="C12" s="6">
        <f>Q11</f>
        <v/>
      </c>
      <c r="D12" s="3" t="n"/>
      <c r="E12" s="3" t="n"/>
      <c r="F12" s="3" t="n"/>
      <c r="G12" s="3" t="n"/>
      <c r="H12" s="3" t="n"/>
      <c r="I12" s="3" t="n"/>
      <c r="J12" s="6">
        <f>IF(COUNTA(D12:I12)&gt;0,SUM(D12:I12),IF(K12="", "", K12))</f>
        <v/>
      </c>
      <c r="K12" s="3" t="n"/>
      <c r="L12" s="3" t="n"/>
      <c r="M12" s="4" t="n"/>
      <c r="N12" s="3" t="n"/>
      <c r="O12" s="6">
        <f>IF(COUNTA(L12:N12)&gt;0,SUM(L12:N12),IF(P12="", "", P12))</f>
        <v/>
      </c>
      <c r="P12" s="3" t="n"/>
      <c r="Q12" s="3" t="n"/>
      <c r="R12" s="3" t="n"/>
      <c r="S12" s="6">
        <f>IF(OR(C12="",J12="",O12=""),"",C12+J12-O12)</f>
        <v/>
      </c>
      <c r="T12" s="3" t="n"/>
      <c r="U12" s="3" t="n"/>
      <c r="V12" s="3" t="n"/>
      <c r="W12" s="6">
        <f>IF(Z12=1,"FALTAN DATOS",IF(S12&lt;0,"OCUPACION NEGATIVA",IF(X12=1,"SOBREOCUPACION",IF(Y12&lt;&gt;0,"BALANCE RARO","OK"))))</f>
        <v/>
      </c>
      <c r="X12" s="6">
        <f>IF(AND(R12&lt;&gt;"",S12&gt;R12),1,0)</f>
        <v/>
      </c>
      <c r="Y12" s="6">
        <f>IF(OR(C12="",J12="",O12="",S12=""),"",C12+J12-O12-S12)</f>
        <v/>
      </c>
      <c r="Z12" s="6">
        <f>IF(OR(R12="",A12="",B12="",C12="",J12="",O12=""),1,0)</f>
        <v/>
      </c>
    </row>
    <row r="13">
      <c r="A13" s="6">
        <f>DATE(2026,2,7)</f>
        <v/>
      </c>
      <c r="B13" s="6" t="n">
        <v>7</v>
      </c>
      <c r="C13" s="6">
        <f>Q12</f>
        <v/>
      </c>
      <c r="D13" s="3" t="n"/>
      <c r="E13" s="3" t="n"/>
      <c r="F13" s="3" t="n"/>
      <c r="G13" s="3" t="n"/>
      <c r="H13" s="3" t="n"/>
      <c r="I13" s="3" t="n"/>
      <c r="J13" s="6">
        <f>IF(COUNTA(D13:I13)&gt;0,SUM(D13:I13),IF(K13="", "", K13))</f>
        <v/>
      </c>
      <c r="K13" s="3" t="n"/>
      <c r="L13" s="3" t="n"/>
      <c r="M13" s="4" t="n"/>
      <c r="N13" s="3" t="n"/>
      <c r="O13" s="6">
        <f>IF(COUNTA(L13:N13)&gt;0,SUM(L13:N13),IF(P13="", "", P13))</f>
        <v/>
      </c>
      <c r="P13" s="3" t="n"/>
      <c r="Q13" s="3" t="n"/>
      <c r="R13" s="3" t="n"/>
      <c r="S13" s="6">
        <f>IF(OR(C13="",J13="",O13=""),"",C13+J13-O13)</f>
        <v/>
      </c>
      <c r="T13" s="3" t="n"/>
      <c r="U13" s="3" t="n"/>
      <c r="V13" s="3" t="n"/>
      <c r="W13" s="6">
        <f>IF(Z13=1,"FALTAN DATOS",IF(S13&lt;0,"OCUPACION NEGATIVA",IF(X13=1,"SOBREOCUPACION",IF(Y13&lt;&gt;0,"BALANCE RARO","OK"))))</f>
        <v/>
      </c>
      <c r="X13" s="6">
        <f>IF(AND(R13&lt;&gt;"",S13&gt;R13),1,0)</f>
        <v/>
      </c>
      <c r="Y13" s="6">
        <f>IF(OR(C13="",J13="",O13="",S13=""),"",C13+J13-O13-S13)</f>
        <v/>
      </c>
      <c r="Z13" s="6">
        <f>IF(OR(R13="",A13="",B13="",C13="",J13="",O13=""),1,0)</f>
        <v/>
      </c>
    </row>
    <row r="14">
      <c r="A14" s="6">
        <f>DATE(2026,2,8)</f>
        <v/>
      </c>
      <c r="B14" s="6" t="n">
        <v>8</v>
      </c>
      <c r="C14" s="6">
        <f>Q13</f>
        <v/>
      </c>
      <c r="D14" s="3" t="n"/>
      <c r="E14" s="3" t="n"/>
      <c r="F14" s="3" t="n"/>
      <c r="G14" s="3" t="n"/>
      <c r="H14" s="3" t="n"/>
      <c r="I14" s="3" t="n"/>
      <c r="J14" s="6">
        <f>IF(COUNTA(D14:I14)&gt;0,SUM(D14:I14),IF(K14="", "", K14))</f>
        <v/>
      </c>
      <c r="K14" s="3" t="n"/>
      <c r="L14" s="3" t="n"/>
      <c r="M14" s="4" t="n"/>
      <c r="N14" s="3" t="n"/>
      <c r="O14" s="6">
        <f>IF(COUNTA(L14:N14)&gt;0,SUM(L14:N14),IF(P14="", "", P14))</f>
        <v/>
      </c>
      <c r="P14" s="3" t="n"/>
      <c r="Q14" s="3" t="n"/>
      <c r="R14" s="3" t="n"/>
      <c r="S14" s="6">
        <f>IF(OR(C14="",J14="",O14=""),"",C14+J14-O14)</f>
        <v/>
      </c>
      <c r="T14" s="3" t="n"/>
      <c r="U14" s="3" t="n"/>
      <c r="V14" s="3" t="n"/>
      <c r="W14" s="6">
        <f>IF(Z14=1,"FALTAN DATOS",IF(S14&lt;0,"OCUPACION NEGATIVA",IF(X14=1,"SOBREOCUPACION",IF(Y14&lt;&gt;0,"BALANCE RARO","OK"))))</f>
        <v/>
      </c>
      <c r="X14" s="6">
        <f>IF(AND(R14&lt;&gt;"",S14&gt;R14),1,0)</f>
        <v/>
      </c>
      <c r="Y14" s="6">
        <f>IF(OR(C14="",J14="",O14="",S14=""),"",C14+J14-O14-S14)</f>
        <v/>
      </c>
      <c r="Z14" s="6">
        <f>IF(OR(R14="",A14="",B14="",C14="",J14="",O14=""),1,0)</f>
        <v/>
      </c>
    </row>
    <row r="15">
      <c r="A15" s="6">
        <f>DATE(2026,2,9)</f>
        <v/>
      </c>
      <c r="B15" s="6" t="n">
        <v>9</v>
      </c>
      <c r="C15" s="6">
        <f>Q14</f>
        <v/>
      </c>
      <c r="D15" s="3" t="n"/>
      <c r="E15" s="3" t="n"/>
      <c r="F15" s="3" t="n"/>
      <c r="G15" s="3" t="n"/>
      <c r="H15" s="3" t="n"/>
      <c r="I15" s="3" t="n"/>
      <c r="J15" s="6">
        <f>IF(COUNTA(D15:I15)&gt;0,SUM(D15:I15),IF(K15="", "", K15))</f>
        <v/>
      </c>
      <c r="K15" s="3" t="n"/>
      <c r="L15" s="3" t="n"/>
      <c r="M15" s="4" t="n"/>
      <c r="N15" s="3" t="n"/>
      <c r="O15" s="6">
        <f>IF(COUNTA(L15:N15)&gt;0,SUM(L15:N15),IF(P15="", "", P15))</f>
        <v/>
      </c>
      <c r="P15" s="3" t="n"/>
      <c r="Q15" s="3" t="n"/>
      <c r="R15" s="3" t="n"/>
      <c r="S15" s="6">
        <f>IF(OR(C15="",J15="",O15=""),"",C15+J15-O15)</f>
        <v/>
      </c>
      <c r="T15" s="3" t="n"/>
      <c r="U15" s="3" t="n"/>
      <c r="V15" s="3" t="n"/>
      <c r="W15" s="6">
        <f>IF(Z15=1,"FALTAN DATOS",IF(S15&lt;0,"OCUPACION NEGATIVA",IF(X15=1,"SOBREOCUPACION",IF(Y15&lt;&gt;0,"BALANCE RARO","OK"))))</f>
        <v/>
      </c>
      <c r="X15" s="6">
        <f>IF(AND(R15&lt;&gt;"",S15&gt;R15),1,0)</f>
        <v/>
      </c>
      <c r="Y15" s="6">
        <f>IF(OR(C15="",J15="",O15="",S15=""),"",C15+J15-O15-S15)</f>
        <v/>
      </c>
      <c r="Z15" s="6">
        <f>IF(OR(R15="",A15="",B15="",C15="",J15="",O15=""),1,0)</f>
        <v/>
      </c>
    </row>
    <row r="16">
      <c r="A16" s="6">
        <f>DATE(2026,2,10)</f>
        <v/>
      </c>
      <c r="B16" s="6" t="n">
        <v>10</v>
      </c>
      <c r="C16" s="6">
        <f>Q15</f>
        <v/>
      </c>
      <c r="D16" s="3" t="n"/>
      <c r="E16" s="3" t="n"/>
      <c r="F16" s="3" t="n"/>
      <c r="G16" s="3" t="n"/>
      <c r="H16" s="3" t="n"/>
      <c r="I16" s="3" t="n"/>
      <c r="J16" s="6">
        <f>IF(COUNTA(D16:I16)&gt;0,SUM(D16:I16),IF(K16="", "", K16))</f>
        <v/>
      </c>
      <c r="K16" s="3" t="n"/>
      <c r="L16" s="3" t="n"/>
      <c r="M16" s="4" t="n"/>
      <c r="N16" s="3" t="n"/>
      <c r="O16" s="6">
        <f>IF(COUNTA(L16:N16)&gt;0,SUM(L16:N16),IF(P16="", "", P16))</f>
        <v/>
      </c>
      <c r="P16" s="3" t="n"/>
      <c r="Q16" s="3" t="n"/>
      <c r="R16" s="3" t="n"/>
      <c r="S16" s="6">
        <f>IF(OR(C16="",J16="",O16=""),"",C16+J16-O16)</f>
        <v/>
      </c>
      <c r="T16" s="3" t="n"/>
      <c r="U16" s="3" t="n"/>
      <c r="V16" s="3" t="n"/>
      <c r="W16" s="6">
        <f>IF(Z16=1,"FALTAN DATOS",IF(S16&lt;0,"OCUPACION NEGATIVA",IF(X16=1,"SOBREOCUPACION",IF(Y16&lt;&gt;0,"BALANCE RARO","OK"))))</f>
        <v/>
      </c>
      <c r="X16" s="6">
        <f>IF(AND(R16&lt;&gt;"",S16&gt;R16),1,0)</f>
        <v/>
      </c>
      <c r="Y16" s="6">
        <f>IF(OR(C16="",J16="",O16="",S16=""),"",C16+J16-O16-S16)</f>
        <v/>
      </c>
      <c r="Z16" s="6">
        <f>IF(OR(R16="",A16="",B16="",C16="",J16="",O16=""),1,0)</f>
        <v/>
      </c>
    </row>
    <row r="17">
      <c r="A17" s="6">
        <f>DATE(2026,2,11)</f>
        <v/>
      </c>
      <c r="B17" s="6" t="n">
        <v>11</v>
      </c>
      <c r="C17" s="6">
        <f>Q16</f>
        <v/>
      </c>
      <c r="D17" s="3" t="n"/>
      <c r="E17" s="3" t="n"/>
      <c r="F17" s="3" t="n"/>
      <c r="G17" s="3" t="n"/>
      <c r="H17" s="3" t="n"/>
      <c r="I17" s="3" t="n"/>
      <c r="J17" s="6">
        <f>IF(COUNTA(D17:I17)&gt;0,SUM(D17:I17),IF(K17="", "", K17))</f>
        <v/>
      </c>
      <c r="K17" s="3" t="n"/>
      <c r="L17" s="3" t="n"/>
      <c r="M17" s="4" t="n"/>
      <c r="N17" s="3" t="n"/>
      <c r="O17" s="6">
        <f>IF(COUNTA(L17:N17)&gt;0,SUM(L17:N17),IF(P17="", "", P17))</f>
        <v/>
      </c>
      <c r="P17" s="3" t="n"/>
      <c r="Q17" s="3" t="n"/>
      <c r="R17" s="3" t="n"/>
      <c r="S17" s="6">
        <f>IF(OR(C17="",J17="",O17=""),"",C17+J17-O17)</f>
        <v/>
      </c>
      <c r="T17" s="3" t="n"/>
      <c r="U17" s="3" t="n"/>
      <c r="V17" s="3" t="n"/>
      <c r="W17" s="6">
        <f>IF(Z17=1,"FALTAN DATOS",IF(S17&lt;0,"OCUPACION NEGATIVA",IF(X17=1,"SOBREOCUPACION",IF(Y17&lt;&gt;0,"BALANCE RARO","OK"))))</f>
        <v/>
      </c>
      <c r="X17" s="6">
        <f>IF(AND(R17&lt;&gt;"",S17&gt;R17),1,0)</f>
        <v/>
      </c>
      <c r="Y17" s="6">
        <f>IF(OR(C17="",J17="",O17="",S17=""),"",C17+J17-O17-S17)</f>
        <v/>
      </c>
      <c r="Z17" s="6">
        <f>IF(OR(R17="",A17="",B17="",C17="",J17="",O17=""),1,0)</f>
        <v/>
      </c>
    </row>
    <row r="18">
      <c r="A18" s="6">
        <f>DATE(2026,2,12)</f>
        <v/>
      </c>
      <c r="B18" s="6" t="n">
        <v>12</v>
      </c>
      <c r="C18" s="6">
        <f>Q17</f>
        <v/>
      </c>
      <c r="D18" s="3" t="n"/>
      <c r="E18" s="3" t="n"/>
      <c r="F18" s="3" t="n"/>
      <c r="G18" s="3" t="n"/>
      <c r="H18" s="3" t="n"/>
      <c r="I18" s="3" t="n"/>
      <c r="J18" s="6">
        <f>IF(COUNTA(D18:I18)&gt;0,SUM(D18:I18),IF(K18="", "", K18))</f>
        <v/>
      </c>
      <c r="K18" s="3" t="n"/>
      <c r="L18" s="3" t="n"/>
      <c r="M18" s="4" t="n"/>
      <c r="N18" s="3" t="n"/>
      <c r="O18" s="6">
        <f>IF(COUNTA(L18:N18)&gt;0,SUM(L18:N18),IF(P18="", "", P18))</f>
        <v/>
      </c>
      <c r="P18" s="3" t="n"/>
      <c r="Q18" s="3" t="n"/>
      <c r="R18" s="3" t="n"/>
      <c r="S18" s="6">
        <f>IF(OR(C18="",J18="",O18=""),"",C18+J18-O18)</f>
        <v/>
      </c>
      <c r="T18" s="3" t="n"/>
      <c r="U18" s="3" t="n"/>
      <c r="V18" s="3" t="n"/>
      <c r="W18" s="6">
        <f>IF(Z18=1,"FALTAN DATOS",IF(S18&lt;0,"OCUPACION NEGATIVA",IF(X18=1,"SOBREOCUPACION",IF(Y18&lt;&gt;0,"BALANCE RARO","OK"))))</f>
        <v/>
      </c>
      <c r="X18" s="6">
        <f>IF(AND(R18&lt;&gt;"",S18&gt;R18),1,0)</f>
        <v/>
      </c>
      <c r="Y18" s="6">
        <f>IF(OR(C18="",J18="",O18="",S18=""),"",C18+J18-O18-S18)</f>
        <v/>
      </c>
      <c r="Z18" s="6">
        <f>IF(OR(R18="",A18="",B18="",C18="",J18="",O18=""),1,0)</f>
        <v/>
      </c>
    </row>
    <row r="19">
      <c r="A19" s="6">
        <f>DATE(2026,2,13)</f>
        <v/>
      </c>
      <c r="B19" s="6" t="n">
        <v>13</v>
      </c>
      <c r="C19" s="6">
        <f>Q18</f>
        <v/>
      </c>
      <c r="D19" s="3" t="n"/>
      <c r="E19" s="3" t="n"/>
      <c r="F19" s="3" t="n"/>
      <c r="G19" s="3" t="n"/>
      <c r="H19" s="3" t="n"/>
      <c r="I19" s="3" t="n"/>
      <c r="J19" s="6">
        <f>IF(COUNTA(D19:I19)&gt;0,SUM(D19:I19),IF(K19="", "", K19))</f>
        <v/>
      </c>
      <c r="K19" s="3" t="n"/>
      <c r="L19" s="3" t="n"/>
      <c r="M19" s="4" t="n"/>
      <c r="N19" s="3" t="n"/>
      <c r="O19" s="6">
        <f>IF(COUNTA(L19:N19)&gt;0,SUM(L19:N19),IF(P19="", "", P19))</f>
        <v/>
      </c>
      <c r="P19" s="3" t="n"/>
      <c r="Q19" s="3" t="n"/>
      <c r="R19" s="3" t="n"/>
      <c r="S19" s="6">
        <f>IF(OR(C19="",J19="",O19=""),"",C19+J19-O19)</f>
        <v/>
      </c>
      <c r="T19" s="3" t="n"/>
      <c r="U19" s="3" t="n"/>
      <c r="V19" s="3" t="n"/>
      <c r="W19" s="6">
        <f>IF(Z19=1,"FALTAN DATOS",IF(S19&lt;0,"OCUPACION NEGATIVA",IF(X19=1,"SOBREOCUPACION",IF(Y19&lt;&gt;0,"BALANCE RARO","OK"))))</f>
        <v/>
      </c>
      <c r="X19" s="6">
        <f>IF(AND(R19&lt;&gt;"",S19&gt;R19),1,0)</f>
        <v/>
      </c>
      <c r="Y19" s="6">
        <f>IF(OR(C19="",J19="",O19="",S19=""),"",C19+J19-O19-S19)</f>
        <v/>
      </c>
      <c r="Z19" s="6">
        <f>IF(OR(R19="",A19="",B19="",C19="",J19="",O19=""),1,0)</f>
        <v/>
      </c>
    </row>
    <row r="20">
      <c r="A20" s="6">
        <f>DATE(2026,2,14)</f>
        <v/>
      </c>
      <c r="B20" s="6" t="n">
        <v>14</v>
      </c>
      <c r="C20" s="6">
        <f>Q19</f>
        <v/>
      </c>
      <c r="D20" s="3" t="n"/>
      <c r="E20" s="3" t="n"/>
      <c r="F20" s="3" t="n"/>
      <c r="G20" s="3" t="n"/>
      <c r="H20" s="3" t="n"/>
      <c r="I20" s="3" t="n"/>
      <c r="J20" s="6">
        <f>IF(COUNTA(D20:I20)&gt;0,SUM(D20:I20),IF(K20="", "", K20))</f>
        <v/>
      </c>
      <c r="K20" s="3" t="n"/>
      <c r="L20" s="3" t="n"/>
      <c r="M20" s="4" t="n"/>
      <c r="N20" s="3" t="n"/>
      <c r="O20" s="6">
        <f>IF(COUNTA(L20:N20)&gt;0,SUM(L20:N20),IF(P20="", "", P20))</f>
        <v/>
      </c>
      <c r="P20" s="3" t="n"/>
      <c r="Q20" s="3" t="n"/>
      <c r="R20" s="3" t="n"/>
      <c r="S20" s="6">
        <f>IF(OR(C20="",J20="",O20=""),"",C20+J20-O20)</f>
        <v/>
      </c>
      <c r="T20" s="3" t="n"/>
      <c r="U20" s="3" t="n"/>
      <c r="V20" s="3" t="n"/>
      <c r="W20" s="6">
        <f>IF(Z20=1,"FALTAN DATOS",IF(S20&lt;0,"OCUPACION NEGATIVA",IF(X20=1,"SOBREOCUPACION",IF(Y20&lt;&gt;0,"BALANCE RARO","OK"))))</f>
        <v/>
      </c>
      <c r="X20" s="6">
        <f>IF(AND(R20&lt;&gt;"",S20&gt;R20),1,0)</f>
        <v/>
      </c>
      <c r="Y20" s="6">
        <f>IF(OR(C20="",J20="",O20="",S20=""),"",C20+J20-O20-S20)</f>
        <v/>
      </c>
      <c r="Z20" s="6">
        <f>IF(OR(R20="",A20="",B20="",C20="",J20="",O20=""),1,0)</f>
        <v/>
      </c>
    </row>
    <row r="21">
      <c r="A21" s="6">
        <f>DATE(2026,2,15)</f>
        <v/>
      </c>
      <c r="B21" s="6" t="n">
        <v>15</v>
      </c>
      <c r="C21" s="6">
        <f>Q20</f>
        <v/>
      </c>
      <c r="D21" s="3" t="n"/>
      <c r="E21" s="3" t="n"/>
      <c r="F21" s="3" t="n"/>
      <c r="G21" s="3" t="n"/>
      <c r="H21" s="3" t="n"/>
      <c r="I21" s="3" t="n"/>
      <c r="J21" s="6">
        <f>IF(COUNTA(D21:I21)&gt;0,SUM(D21:I21),IF(K21="", "", K21))</f>
        <v/>
      </c>
      <c r="K21" s="3" t="n"/>
      <c r="L21" s="3" t="n"/>
      <c r="M21" s="4" t="n"/>
      <c r="N21" s="3" t="n"/>
      <c r="O21" s="6">
        <f>IF(COUNTA(L21:N21)&gt;0,SUM(L21:N21),IF(P21="", "", P21))</f>
        <v/>
      </c>
      <c r="P21" s="3" t="n"/>
      <c r="Q21" s="3" t="n"/>
      <c r="R21" s="3" t="n"/>
      <c r="S21" s="6">
        <f>IF(OR(C21="",J21="",O21=""),"",C21+J21-O21)</f>
        <v/>
      </c>
      <c r="T21" s="3" t="n"/>
      <c r="U21" s="3" t="n"/>
      <c r="V21" s="3" t="n"/>
      <c r="W21" s="6">
        <f>IF(Z21=1,"FALTAN DATOS",IF(S21&lt;0,"OCUPACION NEGATIVA",IF(X21=1,"SOBREOCUPACION",IF(Y21&lt;&gt;0,"BALANCE RARO","OK"))))</f>
        <v/>
      </c>
      <c r="X21" s="6">
        <f>IF(AND(R21&lt;&gt;"",S21&gt;R21),1,0)</f>
        <v/>
      </c>
      <c r="Y21" s="6">
        <f>IF(OR(C21="",J21="",O21="",S21=""),"",C21+J21-O21-S21)</f>
        <v/>
      </c>
      <c r="Z21" s="6">
        <f>IF(OR(R21="",A21="",B21="",C21="",J21="",O21=""),1,0)</f>
        <v/>
      </c>
    </row>
    <row r="22">
      <c r="A22" s="6">
        <f>DATE(2026,2,16)</f>
        <v/>
      </c>
      <c r="B22" s="6" t="n">
        <v>16</v>
      </c>
      <c r="C22" s="6">
        <f>Q21</f>
        <v/>
      </c>
      <c r="D22" s="3" t="n"/>
      <c r="E22" s="3" t="n"/>
      <c r="F22" s="3" t="n"/>
      <c r="G22" s="3" t="n"/>
      <c r="H22" s="3" t="n"/>
      <c r="I22" s="3" t="n"/>
      <c r="J22" s="6">
        <f>IF(COUNTA(D22:I22)&gt;0,SUM(D22:I22),IF(K22="", "", K22))</f>
        <v/>
      </c>
      <c r="K22" s="3" t="n"/>
      <c r="L22" s="3" t="n"/>
      <c r="M22" s="4" t="n"/>
      <c r="N22" s="3" t="n"/>
      <c r="O22" s="6">
        <f>IF(COUNTA(L22:N22)&gt;0,SUM(L22:N22),IF(P22="", "", P22))</f>
        <v/>
      </c>
      <c r="P22" s="3" t="n"/>
      <c r="Q22" s="3" t="n"/>
      <c r="R22" s="3" t="n"/>
      <c r="S22" s="6">
        <f>IF(OR(C22="",J22="",O22=""),"",C22+J22-O22)</f>
        <v/>
      </c>
      <c r="T22" s="3" t="n"/>
      <c r="U22" s="3" t="n"/>
      <c r="V22" s="3" t="n"/>
      <c r="W22" s="6">
        <f>IF(Z22=1,"FALTAN DATOS",IF(S22&lt;0,"OCUPACION NEGATIVA",IF(X22=1,"SOBREOCUPACION",IF(Y22&lt;&gt;0,"BALANCE RARO","OK"))))</f>
        <v/>
      </c>
      <c r="X22" s="6">
        <f>IF(AND(R22&lt;&gt;"",S22&gt;R22),1,0)</f>
        <v/>
      </c>
      <c r="Y22" s="6">
        <f>IF(OR(C22="",J22="",O22="",S22=""),"",C22+J22-O22-S22)</f>
        <v/>
      </c>
      <c r="Z22" s="6">
        <f>IF(OR(R22="",A22="",B22="",C22="",J22="",O22=""),1,0)</f>
        <v/>
      </c>
    </row>
    <row r="23">
      <c r="A23" s="6">
        <f>DATE(2026,2,17)</f>
        <v/>
      </c>
      <c r="B23" s="6" t="n">
        <v>17</v>
      </c>
      <c r="C23" s="6">
        <f>Q22</f>
        <v/>
      </c>
      <c r="D23" s="3" t="n"/>
      <c r="E23" s="3" t="n"/>
      <c r="F23" s="3" t="n"/>
      <c r="G23" s="3" t="n"/>
      <c r="H23" s="3" t="n"/>
      <c r="I23" s="3" t="n"/>
      <c r="J23" s="6">
        <f>IF(COUNTA(D23:I23)&gt;0,SUM(D23:I23),IF(K23="", "", K23))</f>
        <v/>
      </c>
      <c r="K23" s="3" t="n"/>
      <c r="L23" s="3" t="n"/>
      <c r="M23" s="4" t="n"/>
      <c r="N23" s="3" t="n"/>
      <c r="O23" s="6">
        <f>IF(COUNTA(L23:N23)&gt;0,SUM(L23:N23),IF(P23="", "", P23))</f>
        <v/>
      </c>
      <c r="P23" s="3" t="n"/>
      <c r="Q23" s="3" t="n"/>
      <c r="R23" s="3" t="n"/>
      <c r="S23" s="6">
        <f>IF(OR(C23="",J23="",O23=""),"",C23+J23-O23)</f>
        <v/>
      </c>
      <c r="T23" s="3" t="n"/>
      <c r="U23" s="3" t="n"/>
      <c r="V23" s="3" t="n"/>
      <c r="W23" s="6">
        <f>IF(Z23=1,"FALTAN DATOS",IF(S23&lt;0,"OCUPACION NEGATIVA",IF(X23=1,"SOBREOCUPACION",IF(Y23&lt;&gt;0,"BALANCE RARO","OK"))))</f>
        <v/>
      </c>
      <c r="X23" s="6">
        <f>IF(AND(R23&lt;&gt;"",S23&gt;R23),1,0)</f>
        <v/>
      </c>
      <c r="Y23" s="6">
        <f>IF(OR(C23="",J23="",O23="",S23=""),"",C23+J23-O23-S23)</f>
        <v/>
      </c>
      <c r="Z23" s="6">
        <f>IF(OR(R23="",A23="",B23="",C23="",J23="",O23=""),1,0)</f>
        <v/>
      </c>
    </row>
    <row r="24">
      <c r="A24" s="6">
        <f>DATE(2026,2,18)</f>
        <v/>
      </c>
      <c r="B24" s="6" t="n">
        <v>18</v>
      </c>
      <c r="C24" s="6">
        <f>Q23</f>
        <v/>
      </c>
      <c r="D24" s="3" t="n"/>
      <c r="E24" s="3" t="n"/>
      <c r="F24" s="3" t="n"/>
      <c r="G24" s="3" t="n"/>
      <c r="H24" s="3" t="n"/>
      <c r="I24" s="3" t="n"/>
      <c r="J24" s="6">
        <f>IF(COUNTA(D24:I24)&gt;0,SUM(D24:I24),IF(K24="", "", K24))</f>
        <v/>
      </c>
      <c r="K24" s="3" t="n"/>
      <c r="L24" s="3" t="n"/>
      <c r="M24" s="4" t="n"/>
      <c r="N24" s="3" t="n"/>
      <c r="O24" s="6">
        <f>IF(COUNTA(L24:N24)&gt;0,SUM(L24:N24),IF(P24="", "", P24))</f>
        <v/>
      </c>
      <c r="P24" s="3" t="n"/>
      <c r="Q24" s="3" t="n"/>
      <c r="R24" s="3" t="n"/>
      <c r="S24" s="6">
        <f>IF(OR(C24="",J24="",O24=""),"",C24+J24-O24)</f>
        <v/>
      </c>
      <c r="T24" s="3" t="n"/>
      <c r="U24" s="3" t="n"/>
      <c r="V24" s="3" t="n"/>
      <c r="W24" s="6">
        <f>IF(Z24=1,"FALTAN DATOS",IF(S24&lt;0,"OCUPACION NEGATIVA",IF(X24=1,"SOBREOCUPACION",IF(Y24&lt;&gt;0,"BALANCE RARO","OK"))))</f>
        <v/>
      </c>
      <c r="X24" s="6">
        <f>IF(AND(R24&lt;&gt;"",S24&gt;R24),1,0)</f>
        <v/>
      </c>
      <c r="Y24" s="6">
        <f>IF(OR(C24="",J24="",O24="",S24=""),"",C24+J24-O24-S24)</f>
        <v/>
      </c>
      <c r="Z24" s="6">
        <f>IF(OR(R24="",A24="",B24="",C24="",J24="",O24=""),1,0)</f>
        <v/>
      </c>
    </row>
    <row r="25">
      <c r="A25" s="6">
        <f>DATE(2026,2,19)</f>
        <v/>
      </c>
      <c r="B25" s="6" t="n">
        <v>19</v>
      </c>
      <c r="C25" s="6">
        <f>Q24</f>
        <v/>
      </c>
      <c r="D25" s="3" t="n"/>
      <c r="E25" s="3" t="n"/>
      <c r="F25" s="3" t="n"/>
      <c r="G25" s="3" t="n"/>
      <c r="H25" s="3" t="n"/>
      <c r="I25" s="3" t="n"/>
      <c r="J25" s="6">
        <f>IF(COUNTA(D25:I25)&gt;0,SUM(D25:I25),IF(K25="", "", K25))</f>
        <v/>
      </c>
      <c r="K25" s="3" t="n"/>
      <c r="L25" s="3" t="n"/>
      <c r="M25" s="4" t="n"/>
      <c r="N25" s="3" t="n"/>
      <c r="O25" s="6">
        <f>IF(COUNTA(L25:N25)&gt;0,SUM(L25:N25),IF(P25="", "", P25))</f>
        <v/>
      </c>
      <c r="P25" s="3" t="n"/>
      <c r="Q25" s="3" t="n"/>
      <c r="R25" s="3" t="n"/>
      <c r="S25" s="6">
        <f>IF(OR(C25="",J25="",O25=""),"",C25+J25-O25)</f>
        <v/>
      </c>
      <c r="T25" s="3" t="n"/>
      <c r="U25" s="3" t="n"/>
      <c r="V25" s="3" t="n"/>
      <c r="W25" s="6">
        <f>IF(Z25=1,"FALTAN DATOS",IF(S25&lt;0,"OCUPACION NEGATIVA",IF(X25=1,"SOBREOCUPACION",IF(Y25&lt;&gt;0,"BALANCE RARO","OK"))))</f>
        <v/>
      </c>
      <c r="X25" s="6">
        <f>IF(AND(R25&lt;&gt;"",S25&gt;R25),1,0)</f>
        <v/>
      </c>
      <c r="Y25" s="6">
        <f>IF(OR(C25="",J25="",O25="",S25=""),"",C25+J25-O25-S25)</f>
        <v/>
      </c>
      <c r="Z25" s="6">
        <f>IF(OR(R25="",A25="",B25="",C25="",J25="",O25=""),1,0)</f>
        <v/>
      </c>
    </row>
    <row r="26">
      <c r="A26" s="6">
        <f>DATE(2026,2,20)</f>
        <v/>
      </c>
      <c r="B26" s="6" t="n">
        <v>20</v>
      </c>
      <c r="C26" s="6">
        <f>Q25</f>
        <v/>
      </c>
      <c r="D26" s="3" t="n"/>
      <c r="E26" s="3" t="n"/>
      <c r="F26" s="3" t="n"/>
      <c r="G26" s="3" t="n"/>
      <c r="H26" s="3" t="n"/>
      <c r="I26" s="3" t="n"/>
      <c r="J26" s="6">
        <f>IF(COUNTA(D26:I26)&gt;0,SUM(D26:I26),IF(K26="", "", K26))</f>
        <v/>
      </c>
      <c r="K26" s="3" t="n"/>
      <c r="L26" s="3" t="n"/>
      <c r="M26" s="4" t="n"/>
      <c r="N26" s="3" t="n"/>
      <c r="O26" s="6">
        <f>IF(COUNTA(L26:N26)&gt;0,SUM(L26:N26),IF(P26="", "", P26))</f>
        <v/>
      </c>
      <c r="P26" s="3" t="n"/>
      <c r="Q26" s="3" t="n"/>
      <c r="R26" s="3" t="n"/>
      <c r="S26" s="6">
        <f>IF(OR(C26="",J26="",O26=""),"",C26+J26-O26)</f>
        <v/>
      </c>
      <c r="T26" s="3" t="n"/>
      <c r="U26" s="3" t="n"/>
      <c r="V26" s="3" t="n"/>
      <c r="W26" s="6">
        <f>IF(Z26=1,"FALTAN DATOS",IF(S26&lt;0,"OCUPACION NEGATIVA",IF(X26=1,"SOBREOCUPACION",IF(Y26&lt;&gt;0,"BALANCE RARO","OK"))))</f>
        <v/>
      </c>
      <c r="X26" s="6">
        <f>IF(AND(R26&lt;&gt;"",S26&gt;R26),1,0)</f>
        <v/>
      </c>
      <c r="Y26" s="6">
        <f>IF(OR(C26="",J26="",O26="",S26=""),"",C26+J26-O26-S26)</f>
        <v/>
      </c>
      <c r="Z26" s="6">
        <f>IF(OR(R26="",A26="",B26="",C26="",J26="",O26=""),1,0)</f>
        <v/>
      </c>
    </row>
    <row r="27">
      <c r="A27" s="6">
        <f>DATE(2026,2,21)</f>
        <v/>
      </c>
      <c r="B27" s="6" t="n">
        <v>21</v>
      </c>
      <c r="C27" s="6">
        <f>Q26</f>
        <v/>
      </c>
      <c r="D27" s="3" t="n"/>
      <c r="E27" s="3" t="n"/>
      <c r="F27" s="3" t="n"/>
      <c r="G27" s="3" t="n"/>
      <c r="H27" s="3" t="n"/>
      <c r="I27" s="3" t="n"/>
      <c r="J27" s="6">
        <f>IF(COUNTA(D27:I27)&gt;0,SUM(D27:I27),IF(K27="", "", K27))</f>
        <v/>
      </c>
      <c r="K27" s="3" t="n"/>
      <c r="L27" s="3" t="n"/>
      <c r="M27" s="4" t="n"/>
      <c r="N27" s="3" t="n"/>
      <c r="O27" s="6">
        <f>IF(COUNTA(L27:N27)&gt;0,SUM(L27:N27),IF(P27="", "", P27))</f>
        <v/>
      </c>
      <c r="P27" s="3" t="n"/>
      <c r="Q27" s="3" t="n"/>
      <c r="R27" s="3" t="n"/>
      <c r="S27" s="6">
        <f>IF(OR(C27="",J27="",O27=""),"",C27+J27-O27)</f>
        <v/>
      </c>
      <c r="T27" s="3" t="n"/>
      <c r="U27" s="3" t="n"/>
      <c r="V27" s="3" t="n"/>
      <c r="W27" s="6">
        <f>IF(Z27=1,"FALTAN DATOS",IF(S27&lt;0,"OCUPACION NEGATIVA",IF(X27=1,"SOBREOCUPACION",IF(Y27&lt;&gt;0,"BALANCE RARO","OK"))))</f>
        <v/>
      </c>
      <c r="X27" s="6">
        <f>IF(AND(R27&lt;&gt;"",S27&gt;R27),1,0)</f>
        <v/>
      </c>
      <c r="Y27" s="6">
        <f>IF(OR(C27="",J27="",O27="",S27=""),"",C27+J27-O27-S27)</f>
        <v/>
      </c>
      <c r="Z27" s="6">
        <f>IF(OR(R27="",A27="",B27="",C27="",J27="",O27=""),1,0)</f>
        <v/>
      </c>
    </row>
    <row r="28">
      <c r="A28" s="6">
        <f>DATE(2026,2,22)</f>
        <v/>
      </c>
      <c r="B28" s="6" t="n">
        <v>22</v>
      </c>
      <c r="C28" s="6">
        <f>Q27</f>
        <v/>
      </c>
      <c r="D28" s="3" t="n"/>
      <c r="E28" s="3" t="n"/>
      <c r="F28" s="3" t="n"/>
      <c r="G28" s="3" t="n"/>
      <c r="H28" s="3" t="n"/>
      <c r="I28" s="3" t="n"/>
      <c r="J28" s="6">
        <f>IF(COUNTA(D28:I28)&gt;0,SUM(D28:I28),IF(K28="", "", K28))</f>
        <v/>
      </c>
      <c r="K28" s="3" t="n"/>
      <c r="L28" s="3" t="n"/>
      <c r="M28" s="4" t="n"/>
      <c r="N28" s="3" t="n"/>
      <c r="O28" s="6">
        <f>IF(COUNTA(L28:N28)&gt;0,SUM(L28:N28),IF(P28="", "", P28))</f>
        <v/>
      </c>
      <c r="P28" s="3" t="n"/>
      <c r="Q28" s="3" t="n"/>
      <c r="R28" s="3" t="n"/>
      <c r="S28" s="6">
        <f>IF(OR(C28="",J28="",O28=""),"",C28+J28-O28)</f>
        <v/>
      </c>
      <c r="T28" s="3" t="n"/>
      <c r="U28" s="3" t="n"/>
      <c r="V28" s="3" t="n"/>
      <c r="W28" s="6">
        <f>IF(Z28=1,"FALTAN DATOS",IF(S28&lt;0,"OCUPACION NEGATIVA",IF(X28=1,"SOBREOCUPACION",IF(Y28&lt;&gt;0,"BALANCE RARO","OK"))))</f>
        <v/>
      </c>
      <c r="X28" s="6">
        <f>IF(AND(R28&lt;&gt;"",S28&gt;R28),1,0)</f>
        <v/>
      </c>
      <c r="Y28" s="6">
        <f>IF(OR(C28="",J28="",O28="",S28=""),"",C28+J28-O28-S28)</f>
        <v/>
      </c>
      <c r="Z28" s="6">
        <f>IF(OR(R28="",A28="",B28="",C28="",J28="",O28=""),1,0)</f>
        <v/>
      </c>
    </row>
    <row r="29">
      <c r="A29" s="6">
        <f>DATE(2026,2,23)</f>
        <v/>
      </c>
      <c r="B29" s="6" t="n">
        <v>23</v>
      </c>
      <c r="C29" s="6">
        <f>Q28</f>
        <v/>
      </c>
      <c r="D29" s="3" t="n"/>
      <c r="E29" s="3" t="n"/>
      <c r="F29" s="3" t="n"/>
      <c r="G29" s="3" t="n"/>
      <c r="H29" s="3" t="n"/>
      <c r="I29" s="3" t="n"/>
      <c r="J29" s="6">
        <f>IF(COUNTA(D29:I29)&gt;0,SUM(D29:I29),IF(K29="", "", K29))</f>
        <v/>
      </c>
      <c r="K29" s="3" t="n"/>
      <c r="L29" s="3" t="n"/>
      <c r="M29" s="4" t="n"/>
      <c r="N29" s="3" t="n"/>
      <c r="O29" s="6">
        <f>IF(COUNTA(L29:N29)&gt;0,SUM(L29:N29),IF(P29="", "", P29))</f>
        <v/>
      </c>
      <c r="P29" s="3" t="n"/>
      <c r="Q29" s="3" t="n"/>
      <c r="R29" s="3" t="n"/>
      <c r="S29" s="6">
        <f>IF(OR(C29="",J29="",O29=""),"",C29+J29-O29)</f>
        <v/>
      </c>
      <c r="T29" s="3" t="n"/>
      <c r="U29" s="3" t="n"/>
      <c r="V29" s="3" t="n"/>
      <c r="W29" s="6">
        <f>IF(Z29=1,"FALTAN DATOS",IF(S29&lt;0,"OCUPACION NEGATIVA",IF(X29=1,"SOBREOCUPACION",IF(Y29&lt;&gt;0,"BALANCE RARO","OK"))))</f>
        <v/>
      </c>
      <c r="X29" s="6">
        <f>IF(AND(R29&lt;&gt;"",S29&gt;R29),1,0)</f>
        <v/>
      </c>
      <c r="Y29" s="6">
        <f>IF(OR(C29="",J29="",O29="",S29=""),"",C29+J29-O29-S29)</f>
        <v/>
      </c>
      <c r="Z29" s="6">
        <f>IF(OR(R29="",A29="",B29="",C29="",J29="",O29=""),1,0)</f>
        <v/>
      </c>
    </row>
    <row r="30">
      <c r="A30" s="6">
        <f>DATE(2026,2,24)</f>
        <v/>
      </c>
      <c r="B30" s="6" t="n">
        <v>24</v>
      </c>
      <c r="C30" s="6">
        <f>Q29</f>
        <v/>
      </c>
      <c r="D30" s="3" t="n"/>
      <c r="E30" s="3" t="n"/>
      <c r="F30" s="3" t="n"/>
      <c r="G30" s="3" t="n"/>
      <c r="H30" s="3" t="n"/>
      <c r="I30" s="3" t="n"/>
      <c r="J30" s="6">
        <f>IF(COUNTA(D30:I30)&gt;0,SUM(D30:I30),IF(K30="", "", K30))</f>
        <v/>
      </c>
      <c r="K30" s="3" t="n"/>
      <c r="L30" s="3" t="n"/>
      <c r="M30" s="4" t="n"/>
      <c r="N30" s="3" t="n"/>
      <c r="O30" s="6">
        <f>IF(COUNTA(L30:N30)&gt;0,SUM(L30:N30),IF(P30="", "", P30))</f>
        <v/>
      </c>
      <c r="P30" s="3" t="n"/>
      <c r="Q30" s="3" t="n"/>
      <c r="R30" s="3" t="n"/>
      <c r="S30" s="6">
        <f>IF(OR(C30="",J30="",O30=""),"",C30+J30-O30)</f>
        <v/>
      </c>
      <c r="T30" s="3" t="n"/>
      <c r="U30" s="3" t="n"/>
      <c r="V30" s="3" t="n"/>
      <c r="W30" s="6">
        <f>IF(Z30=1,"FALTAN DATOS",IF(S30&lt;0,"OCUPACION NEGATIVA",IF(X30=1,"SOBREOCUPACION",IF(Y30&lt;&gt;0,"BALANCE RARO","OK"))))</f>
        <v/>
      </c>
      <c r="X30" s="6">
        <f>IF(AND(R30&lt;&gt;"",S30&gt;R30),1,0)</f>
        <v/>
      </c>
      <c r="Y30" s="6">
        <f>IF(OR(C30="",J30="",O30="",S30=""),"",C30+J30-O30-S30)</f>
        <v/>
      </c>
      <c r="Z30" s="6">
        <f>IF(OR(R30="",A30="",B30="",C30="",J30="",O30=""),1,0)</f>
        <v/>
      </c>
    </row>
    <row r="31">
      <c r="A31" s="6">
        <f>DATE(2026,2,25)</f>
        <v/>
      </c>
      <c r="B31" s="6" t="n">
        <v>25</v>
      </c>
      <c r="C31" s="6">
        <f>Q30</f>
        <v/>
      </c>
      <c r="D31" s="3" t="n"/>
      <c r="E31" s="3" t="n"/>
      <c r="F31" s="3" t="n"/>
      <c r="G31" s="3" t="n"/>
      <c r="H31" s="3" t="n"/>
      <c r="I31" s="3" t="n"/>
      <c r="J31" s="6">
        <f>IF(COUNTA(D31:I31)&gt;0,SUM(D31:I31),IF(K31="", "", K31))</f>
        <v/>
      </c>
      <c r="K31" s="3" t="n"/>
      <c r="L31" s="3" t="n"/>
      <c r="M31" s="4" t="n"/>
      <c r="N31" s="3" t="n"/>
      <c r="O31" s="6">
        <f>IF(COUNTA(L31:N31)&gt;0,SUM(L31:N31),IF(P31="", "", P31))</f>
        <v/>
      </c>
      <c r="P31" s="3" t="n"/>
      <c r="Q31" s="3" t="n"/>
      <c r="R31" s="3" t="n"/>
      <c r="S31" s="6">
        <f>IF(OR(C31="",J31="",O31=""),"",C31+J31-O31)</f>
        <v/>
      </c>
      <c r="T31" s="3" t="n"/>
      <c r="U31" s="3" t="n"/>
      <c r="V31" s="3" t="n"/>
      <c r="W31" s="6">
        <f>IF(Z31=1,"FALTAN DATOS",IF(S31&lt;0,"OCUPACION NEGATIVA",IF(X31=1,"SOBREOCUPACION",IF(Y31&lt;&gt;0,"BALANCE RARO","OK"))))</f>
        <v/>
      </c>
      <c r="X31" s="6">
        <f>IF(AND(R31&lt;&gt;"",S31&gt;R31),1,0)</f>
        <v/>
      </c>
      <c r="Y31" s="6">
        <f>IF(OR(C31="",J31="",O31="",S31=""),"",C31+J31-O31-S31)</f>
        <v/>
      </c>
      <c r="Z31" s="6">
        <f>IF(OR(R31="",A31="",B31="",C31="",J31="",O31=""),1,0)</f>
        <v/>
      </c>
    </row>
    <row r="32">
      <c r="A32" s="6">
        <f>DATE(2026,2,26)</f>
        <v/>
      </c>
      <c r="B32" s="6" t="n">
        <v>26</v>
      </c>
      <c r="C32" s="6">
        <f>Q31</f>
        <v/>
      </c>
      <c r="D32" s="3" t="n"/>
      <c r="E32" s="3" t="n"/>
      <c r="F32" s="3" t="n"/>
      <c r="G32" s="3" t="n"/>
      <c r="H32" s="3" t="n"/>
      <c r="I32" s="3" t="n"/>
      <c r="J32" s="6">
        <f>IF(COUNTA(D32:I32)&gt;0,SUM(D32:I32),IF(K32="", "", K32))</f>
        <v/>
      </c>
      <c r="K32" s="3" t="n"/>
      <c r="L32" s="3" t="n"/>
      <c r="M32" s="4" t="n"/>
      <c r="N32" s="3" t="n"/>
      <c r="O32" s="6">
        <f>IF(COUNTA(L32:N32)&gt;0,SUM(L32:N32),IF(P32="", "", P32))</f>
        <v/>
      </c>
      <c r="P32" s="3" t="n"/>
      <c r="Q32" s="3" t="n"/>
      <c r="R32" s="3" t="n"/>
      <c r="S32" s="6">
        <f>IF(OR(C32="",J32="",O32=""),"",C32+J32-O32)</f>
        <v/>
      </c>
      <c r="T32" s="3" t="n"/>
      <c r="U32" s="3" t="n"/>
      <c r="V32" s="3" t="n"/>
      <c r="W32" s="6">
        <f>IF(Z32=1,"FALTAN DATOS",IF(S32&lt;0,"OCUPACION NEGATIVA",IF(X32=1,"SOBREOCUPACION",IF(Y32&lt;&gt;0,"BALANCE RARO","OK"))))</f>
        <v/>
      </c>
      <c r="X32" s="6">
        <f>IF(AND(R32&lt;&gt;"",S32&gt;R32),1,0)</f>
        <v/>
      </c>
      <c r="Y32" s="6">
        <f>IF(OR(C32="",J32="",O32="",S32=""),"",C32+J32-O32-S32)</f>
        <v/>
      </c>
      <c r="Z32" s="6">
        <f>IF(OR(R32="",A32="",B32="",C32="",J32="",O32=""),1,0)</f>
        <v/>
      </c>
    </row>
    <row r="33">
      <c r="A33" s="6">
        <f>DATE(2026,2,27)</f>
        <v/>
      </c>
      <c r="B33" s="6" t="n">
        <v>27</v>
      </c>
      <c r="C33" s="6">
        <f>Q32</f>
        <v/>
      </c>
      <c r="D33" s="3" t="n"/>
      <c r="E33" s="3" t="n"/>
      <c r="F33" s="3" t="n"/>
      <c r="G33" s="3" t="n"/>
      <c r="H33" s="3" t="n"/>
      <c r="I33" s="3" t="n"/>
      <c r="J33" s="6">
        <f>IF(COUNTA(D33:I33)&gt;0,SUM(D33:I33),IF(K33="", "", K33))</f>
        <v/>
      </c>
      <c r="K33" s="3" t="n"/>
      <c r="L33" s="3" t="n"/>
      <c r="M33" s="4" t="n"/>
      <c r="N33" s="3" t="n"/>
      <c r="O33" s="6">
        <f>IF(COUNTA(L33:N33)&gt;0,SUM(L33:N33),IF(P33="", "", P33))</f>
        <v/>
      </c>
      <c r="P33" s="3" t="n"/>
      <c r="Q33" s="3" t="n"/>
      <c r="R33" s="3" t="n"/>
      <c r="S33" s="6">
        <f>IF(OR(C33="",J33="",O33=""),"",C33+J33-O33)</f>
        <v/>
      </c>
      <c r="T33" s="3" t="n"/>
      <c r="U33" s="3" t="n"/>
      <c r="V33" s="3" t="n"/>
      <c r="W33" s="6">
        <f>IF(Z33=1,"FALTAN DATOS",IF(S33&lt;0,"OCUPACION NEGATIVA",IF(X33=1,"SOBREOCUPACION",IF(Y33&lt;&gt;0,"BALANCE RARO","OK"))))</f>
        <v/>
      </c>
      <c r="X33" s="6">
        <f>IF(AND(R33&lt;&gt;"",S33&gt;R33),1,0)</f>
        <v/>
      </c>
      <c r="Y33" s="6">
        <f>IF(OR(C33="",J33="",O33="",S33=""),"",C33+J33-O33-S33)</f>
        <v/>
      </c>
      <c r="Z33" s="6">
        <f>IF(OR(R33="",A33="",B33="",C33="",J33="",O33=""),1,0)</f>
        <v/>
      </c>
    </row>
    <row r="34">
      <c r="A34" s="6">
        <f>DATE(2026,2,28)</f>
        <v/>
      </c>
      <c r="B34" s="6" t="n">
        <v>28</v>
      </c>
      <c r="C34" s="6">
        <f>Q33</f>
        <v/>
      </c>
      <c r="D34" s="3" t="n"/>
      <c r="E34" s="3" t="n"/>
      <c r="F34" s="3" t="n"/>
      <c r="G34" s="3" t="n"/>
      <c r="H34" s="3" t="n"/>
      <c r="I34" s="3" t="n"/>
      <c r="J34" s="6">
        <f>IF(COUNTA(D34:I34)&gt;0,SUM(D34:I34),IF(K34="", "", K34))</f>
        <v/>
      </c>
      <c r="K34" s="3" t="n"/>
      <c r="L34" s="3" t="n"/>
      <c r="M34" s="4" t="n"/>
      <c r="N34" s="3" t="n"/>
      <c r="O34" s="6">
        <f>IF(COUNTA(L34:N34)&gt;0,SUM(L34:N34),IF(P34="", "", P34))</f>
        <v/>
      </c>
      <c r="P34" s="3" t="n"/>
      <c r="Q34" s="3" t="n"/>
      <c r="R34" s="3" t="n"/>
      <c r="S34" s="6">
        <f>IF(OR(C34="",J34="",O34=""),"",C34+J34-O34)</f>
        <v/>
      </c>
      <c r="T34" s="3" t="n"/>
      <c r="U34" s="3" t="n"/>
      <c r="V34" s="3" t="n"/>
      <c r="W34" s="6">
        <f>IF(Z34=1,"FALTAN DATOS",IF(S34&lt;0,"OCUPACION NEGATIVA",IF(X34=1,"SOBREOCUPACION",IF(Y34&lt;&gt;0,"BALANCE RARO","OK"))))</f>
        <v/>
      </c>
      <c r="X34" s="6">
        <f>IF(AND(R34&lt;&gt;"",S34&gt;R34),1,0)</f>
        <v/>
      </c>
      <c r="Y34" s="6">
        <f>IF(OR(C34="",J34="",O34="",S34=""),"",C34+J34-O34-S34)</f>
        <v/>
      </c>
      <c r="Z34" s="6">
        <f>IF(OR(R34="",A34="",B34="",C34="",J34="",O34=""),1,0)</f>
        <v/>
      </c>
    </row>
    <row r="35">
      <c r="A35" s="2" t="inlineStr">
        <is>
          <t>TOTAL</t>
        </is>
      </c>
      <c r="D35" s="8">
        <f>SUM(D7:D34)</f>
        <v/>
      </c>
      <c r="E35" s="8">
        <f>SUM(E7:E34)</f>
        <v/>
      </c>
      <c r="F35" s="8">
        <f>SUM(F7:F34)</f>
        <v/>
      </c>
      <c r="G35" s="8">
        <f>SUM(G7:G34)</f>
        <v/>
      </c>
      <c r="H35" s="8">
        <f>SUM(H7:H34)</f>
        <v/>
      </c>
      <c r="I35" s="8">
        <f>SUM(I7:I34)</f>
        <v/>
      </c>
      <c r="J35" s="8">
        <f>SUM(J7:J34)</f>
        <v/>
      </c>
      <c r="K35" s="8">
        <f>SUM(K7:K34)</f>
        <v/>
      </c>
      <c r="L35" s="8">
        <f>SUM(L7:L34)</f>
        <v/>
      </c>
      <c r="M35" s="8">
        <f>SUM(M7:M34)</f>
        <v/>
      </c>
      <c r="N35" s="8">
        <f>SUM(N7:N34)</f>
        <v/>
      </c>
      <c r="O35" s="8">
        <f>SUM(O7:O34)</f>
        <v/>
      </c>
      <c r="P35" s="8">
        <f>SUM(P7:P34)</f>
        <v/>
      </c>
      <c r="Q35" s="8">
        <f>SUM(Q7:Q34)</f>
        <v/>
      </c>
      <c r="R35" s="8">
        <f>SUM(R7:R34)</f>
        <v/>
      </c>
      <c r="S35" s="8">
        <f>SUM(S7:S34)</f>
        <v/>
      </c>
      <c r="T35" s="8">
        <f>SUM(T7:T34)</f>
        <v/>
      </c>
      <c r="U35" s="8">
        <f>SUM(U7:U34)</f>
        <v/>
      </c>
      <c r="V35" s="8">
        <f>SUM(V7:V34)</f>
        <v/>
      </c>
    </row>
    <row r="38">
      <c r="A38" s="2" t="inlineStr">
        <is>
          <t>RESUMEN DEL MES</t>
        </is>
      </c>
      <c r="B38" s="9" t="n"/>
      <c r="C38" s="9" t="n"/>
      <c r="D38" s="10" t="n"/>
      <c r="F38" s="2" t="inlineStr">
        <is>
          <t>CONTROL DEL MES</t>
        </is>
      </c>
      <c r="G38" s="9" t="n"/>
      <c r="H38" s="9" t="n"/>
      <c r="I38" s="10" t="n"/>
    </row>
    <row r="39">
      <c r="A39" s="5" t="inlineStr">
        <is>
          <t>Total ingresos</t>
        </is>
      </c>
      <c r="B39" s="6">
        <f>J35</f>
        <v/>
      </c>
      <c r="F39" s="5" t="inlineStr">
        <is>
          <t>Balance debe ser 0</t>
        </is>
      </c>
      <c r="G39" s="6">
        <f>IF(B50=0,"OK","REVISAR")</f>
        <v/>
      </c>
    </row>
    <row r="40">
      <c r="A40" s="5" t="inlineStr">
        <is>
          <t>Total egresos</t>
        </is>
      </c>
      <c r="B40" s="6">
        <f>O35</f>
        <v/>
      </c>
      <c r="F40" s="5" t="inlineStr">
        <is>
          <t>No debe haber ocupacion negativa</t>
        </is>
      </c>
      <c r="G40" s="6">
        <f>IF(COUNTIF(W7:W34,"OCUPACION NEGATIVA")=0,"OK","REVISAR")</f>
        <v/>
      </c>
    </row>
    <row r="41">
      <c r="A41" s="5" t="inlineStr">
        <is>
          <t>Altas hogar / otro hosp.</t>
        </is>
      </c>
      <c r="B41" s="6">
        <f>L35</f>
        <v/>
      </c>
      <c r="F41" s="5" t="inlineStr">
        <is>
          <t>No deberia faltar existencia inicial</t>
        </is>
      </c>
      <c r="G41" s="6">
        <f>IF(C7="","REVISAR","OK")</f>
        <v/>
      </c>
    </row>
    <row r="42">
      <c r="A42" s="5" t="inlineStr">
        <is>
          <t>Traslados a otro servicio</t>
        </is>
      </c>
      <c r="B42" s="6">
        <f>M35</f>
        <v/>
      </c>
      <c r="F42" s="5" t="inlineStr">
        <is>
          <t>Dias con alertas</t>
        </is>
      </c>
      <c r="G42" s="6">
        <f>B52</f>
        <v/>
      </c>
    </row>
    <row r="43">
      <c r="A43" s="5" t="inlineStr">
        <is>
          <t>Fallecidos</t>
        </is>
      </c>
      <c r="B43" s="6">
        <f>N35</f>
        <v/>
      </c>
    </row>
    <row r="44">
      <c r="A44" s="5" t="inlineStr">
        <is>
          <t>Pacientes atendidos del mes</t>
        </is>
      </c>
      <c r="B44" s="6">
        <f>C7+J35</f>
        <v/>
      </c>
    </row>
    <row r="45">
      <c r="A45" s="5" t="inlineStr">
        <is>
          <t>Dias personas atendidas</t>
        </is>
      </c>
      <c r="B45" s="6">
        <f>T35</f>
        <v/>
      </c>
    </row>
    <row r="46">
      <c r="A46" s="5" t="inlineStr">
        <is>
          <t>Promedio camas</t>
        </is>
      </c>
      <c r="B46" s="11">
        <f>AVERAGE(R7:R34)</f>
        <v/>
      </c>
    </row>
    <row r="47">
      <c r="A47" s="5" t="inlineStr">
        <is>
          <t>Indice ocupacional</t>
        </is>
      </c>
      <c r="B47" s="12">
        <f>IFERROR(S35/R35,"")</f>
        <v/>
      </c>
    </row>
    <row r="48">
      <c r="A48" s="5" t="inlineStr">
        <is>
          <t>Promedio dia de estada</t>
        </is>
      </c>
      <c r="B48" s="11">
        <f>IFERROR(T35/O35,"")</f>
        <v/>
      </c>
    </row>
    <row r="49">
      <c r="A49" s="5" t="inlineStr">
        <is>
          <t>Censo final</t>
        </is>
      </c>
      <c r="B49" s="6">
        <f>S34</f>
        <v/>
      </c>
    </row>
    <row r="50">
      <c r="A50" s="5" t="inlineStr">
        <is>
          <t>Balance del mes</t>
        </is>
      </c>
      <c r="B50" s="6">
        <f>C7+J35-O35-S34</f>
        <v/>
      </c>
    </row>
    <row r="51">
      <c r="A51" s="5" t="inlineStr">
        <is>
          <t>Dias con sobreocupacion</t>
        </is>
      </c>
      <c r="B51" s="6">
        <f>COUNTIF(W7:W34,"SOBREOCUPACION")</f>
        <v/>
      </c>
    </row>
    <row r="52">
      <c r="A52" s="5" t="inlineStr">
        <is>
          <t>Dias con alerta</t>
        </is>
      </c>
      <c r="B52" s="6">
        <f>COUNTIF(W7:W34,"&lt;&gt;OK")</f>
        <v/>
      </c>
    </row>
  </sheetData>
  <sheetProtection selectLockedCells="1" selectUnlockedCells="1" sheet="1" objects="0" insertRows="1" insertHyperlinks="1" autoFilter="1" scenarios="0" formatColumns="1" deleteColumns="1" insertColumns="1" pivotTables="1" deleteRows="1" formatCells="1" formatRows="1" sort="1" password="C752"/>
  <mergeCells count="3">
    <mergeCell ref="A1:Z1"/>
    <mergeCell ref="F38:I38"/>
    <mergeCell ref="A38:D38"/>
  </mergeCells>
  <dataValidations count="1">
    <dataValidation sqref="C7 D7 D8 D9 D10 D11 D12 D13 D14 D15 D16 D17 D18 D19 D20 D21 D22 D23 D24 D25 D26 D27 D28 D29 D30 D31 D32 D33 D34 E7 E8 E9 E10 E11 E12 E13 E14 E15 E16 E17 E18 E19 E20 E21 E22 E23 E24 E25 E26 E27 E28 E29 E30 E31 E32 E33 E34 F7 F8 F9 F10 F11 F12 F13 F14 F15 F16 F17 F18 F19 F20 F21 F22 F23 F24 F25 F26 F27 F28 F29 F30 F31 F32 F33 F34 G7 G8 G9 G10 G11 G12 G13 G14 G15 G16 G17 G18 G19 G20 G21 G22 G23 G24 G25 G26 G27 G28 G29 G30 G31 G32 G33 G34 H7 H8 H9 H10 H11 H12 H13 H14 H15 H16 H17 H18 H19 H20 H21 H22 H23 H24 H25 H26 H27 H28 H29 H30 H31 H32 H33 H34 I7 I8 I9 I10 I11 I12 I13 I14 I15 I16 I17 I18 I19 I20 I21 I22 I23 I24 I25 I26 I27 I28 I29 I30 I31 I32 I33 I34 K7 K8 K9 K10 K11 K12 K13 K14 K15 K16 K17 K18 K19 K20 K21 K22 K23 K24 K25 K26 K27 K28 K29 K30 K31 K32 K33 K34 L7 L8 L9 L10 L11 L12 L13 L14 L15 L16 L17 L18 L19 L20 L21 L22 L23 L24 L25 L26 L27 L28 L29 L30 L31 L32 L33 L34 N7 N8 N9 N10 N11 N12 N13 N14 N15 N16 N17 N18 N19 N20 N21 N22 N23 N24 N25 N26 N27 N28 N29 N30 N31 N32 N33 N34 P7 P8 P9 P10 P11 P12 P13 P14 P15 P16 P17 P18 P19 P20 P21 P22 P23 P24 P25 P26 P27 P28 P29 P30 P31 P32 P33 P34 Q7 Q8 Q9 Q10 Q11 Q12 Q13 Q14 Q15 Q16 Q17 Q18 Q19 Q20 Q21 Q22 Q23 Q24 Q25 Q26 Q27 Q28 Q29 Q30 Q31 Q32 Q33 Q34 R7 R8 R9 R10 R11 R12 R13 R14 R15 R16 R17 R18 R19 R20 R21 R22 R23 R24 R25 R26 R27 R28 R29 R30 R31 R32 R33 R34 T7 T8 T9 T10 T11 T12 T13 T14 T15 T16 T17 T18 T19 T20 T21 T22 T23 T24 T25 T26 T27 T28 T29 T30 T31 T32 T33 T34 U7 U8 U9 U10 U11 U12 U13 U14 U15 U16 U17 U18 U19 U20 U21 U22 U23 U24 U25 U26 U27 U28 U29 U30 U31 U32 U33 U34 V7 V8 V9 V10 V11 V12 V13 V14 V15 V16 V17 V18 V19 V20 V21 V22 V23 V24 V25 V26 V27 V28 V29 V30 V31 V32 V33 V34" showDropDown="0" showInputMessage="0" showErrorMessage="0" allowBlank="1" type="whole" operator="greaterThanOrEqual">
      <formula1>0</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 width="12" customWidth="1" min="5" max="5"/>
    <col width="10" customWidth="1" min="6" max="6"/>
    <col width="18" customWidth="1" min="7" max="7"/>
    <col width="20" customWidth="1" min="8" max="8"/>
    <col width="14" customWidth="1" min="9" max="9"/>
    <col width="16" customWidth="1" min="10" max="10"/>
    <col width="16" customWidth="1" min="11" max="11"/>
    <col width="10" customWidth="1" min="12" max="12"/>
    <col width="18" customWidth="1" min="13" max="13"/>
    <col width="14" customWidth="1" min="14" max="14"/>
  </cols>
  <sheetData>
    <row r="1">
      <c r="A1" s="1" t="inlineStr">
        <is>
          <t>RESUMEN GLOBAL</t>
        </is>
      </c>
    </row>
    <row r="3">
      <c r="A3" s="5" t="inlineStr">
        <is>
          <t>Mes</t>
        </is>
      </c>
      <c r="B3" s="5" t="inlineStr">
        <is>
          <t>Ingresos</t>
        </is>
      </c>
      <c r="C3" s="5" t="inlineStr">
        <is>
          <t>Egresos</t>
        </is>
      </c>
      <c r="D3" s="5" t="inlineStr">
        <is>
          <t>Altas</t>
        </is>
      </c>
      <c r="E3" s="5" t="inlineStr">
        <is>
          <t>Traslados</t>
        </is>
      </c>
      <c r="F3" s="5" t="inlineStr">
        <is>
          <t>Fallecidos</t>
        </is>
      </c>
      <c r="G3" s="5" t="inlineStr">
        <is>
          <t>Pacientes atendidos</t>
        </is>
      </c>
      <c r="H3" s="5" t="inlineStr">
        <is>
          <t>Dias personas atendidas</t>
        </is>
      </c>
      <c r="I3" s="5" t="inlineStr">
        <is>
          <t>Promedio camas</t>
        </is>
      </c>
      <c r="J3" s="5" t="inlineStr">
        <is>
          <t>Indice ocupacional</t>
        </is>
      </c>
      <c r="K3" s="5" t="inlineStr">
        <is>
          <t>Promedio estada</t>
        </is>
      </c>
      <c r="L3" s="5" t="inlineStr">
        <is>
          <t>Censo final</t>
        </is>
      </c>
      <c r="M3" s="5" t="inlineStr">
        <is>
          <t>Dias con sobreocupacion</t>
        </is>
      </c>
      <c r="N3" s="5" t="inlineStr">
        <is>
          <t>Dias con alerta</t>
        </is>
      </c>
    </row>
    <row r="4">
      <c r="A4" s="4" t="inlineStr">
        <is>
          <t>DICIEMBRE 2024</t>
        </is>
      </c>
      <c r="B4" s="6">
        <f>'DICIEMBRE 2024'!B42</f>
        <v/>
      </c>
      <c r="C4" s="6">
        <f>'DICIEMBRE 2024'!B43</f>
        <v/>
      </c>
      <c r="D4" s="6">
        <f>'DICIEMBRE 2024'!B44</f>
        <v/>
      </c>
      <c r="E4" s="6">
        <f>'DICIEMBRE 2024'!B45</f>
        <v/>
      </c>
      <c r="F4" s="6">
        <f>'DICIEMBRE 2024'!B46</f>
        <v/>
      </c>
      <c r="G4" s="6">
        <f>'DICIEMBRE 2024'!B47</f>
        <v/>
      </c>
      <c r="H4" s="6">
        <f>'DICIEMBRE 2024'!B48</f>
        <v/>
      </c>
      <c r="I4" s="11">
        <f>'DICIEMBRE 2024'!B49</f>
        <v/>
      </c>
      <c r="J4" s="12">
        <f>'DICIEMBRE 2024'!B50</f>
        <v/>
      </c>
      <c r="K4" s="11">
        <f>'DICIEMBRE 2024'!B51</f>
        <v/>
      </c>
      <c r="L4" s="6">
        <f>'DICIEMBRE 2024'!B52</f>
        <v/>
      </c>
      <c r="M4" s="6">
        <f>'DICIEMBRE 2024'!B54</f>
        <v/>
      </c>
      <c r="N4" s="6">
        <f>'DICIEMBRE 2024'!B55</f>
        <v/>
      </c>
    </row>
    <row r="5">
      <c r="A5" s="4" t="inlineStr">
        <is>
          <t>ENERO 2025</t>
        </is>
      </c>
      <c r="B5" s="6">
        <f>'ENERO 2025'!B42</f>
        <v/>
      </c>
      <c r="C5" s="6">
        <f>'ENERO 2025'!B43</f>
        <v/>
      </c>
      <c r="D5" s="6">
        <f>'ENERO 2025'!B44</f>
        <v/>
      </c>
      <c r="E5" s="6">
        <f>'ENERO 2025'!B45</f>
        <v/>
      </c>
      <c r="F5" s="6">
        <f>'ENERO 2025'!B46</f>
        <v/>
      </c>
      <c r="G5" s="6">
        <f>'ENERO 2025'!B47</f>
        <v/>
      </c>
      <c r="H5" s="6">
        <f>'ENERO 2025'!B48</f>
        <v/>
      </c>
      <c r="I5" s="11">
        <f>'ENERO 2025'!B49</f>
        <v/>
      </c>
      <c r="J5" s="12">
        <f>'ENERO 2025'!B50</f>
        <v/>
      </c>
      <c r="K5" s="11">
        <f>'ENERO 2025'!B51</f>
        <v/>
      </c>
      <c r="L5" s="6">
        <f>'ENERO 2025'!B52</f>
        <v/>
      </c>
      <c r="M5" s="6">
        <f>'ENERO 2025'!B54</f>
        <v/>
      </c>
      <c r="N5" s="6">
        <f>'ENERO 2025'!B55</f>
        <v/>
      </c>
    </row>
    <row r="6">
      <c r="A6" s="4" t="inlineStr">
        <is>
          <t>FEBRERO 2025</t>
        </is>
      </c>
      <c r="B6" s="6">
        <f>'FEBRERO 2025'!B39</f>
        <v/>
      </c>
      <c r="C6" s="6">
        <f>'FEBRERO 2025'!B40</f>
        <v/>
      </c>
      <c r="D6" s="6">
        <f>'FEBRERO 2025'!B41</f>
        <v/>
      </c>
      <c r="E6" s="6">
        <f>'FEBRERO 2025'!B42</f>
        <v/>
      </c>
      <c r="F6" s="6">
        <f>'FEBRERO 2025'!B43</f>
        <v/>
      </c>
      <c r="G6" s="6">
        <f>'FEBRERO 2025'!B44</f>
        <v/>
      </c>
      <c r="H6" s="6">
        <f>'FEBRERO 2025'!B45</f>
        <v/>
      </c>
      <c r="I6" s="11">
        <f>'FEBRERO 2025'!B46</f>
        <v/>
      </c>
      <c r="J6" s="12">
        <f>'FEBRERO 2025'!B47</f>
        <v/>
      </c>
      <c r="K6" s="11">
        <f>'FEBRERO 2025'!B48</f>
        <v/>
      </c>
      <c r="L6" s="6">
        <f>'FEBRERO 2025'!B49</f>
        <v/>
      </c>
      <c r="M6" s="6">
        <f>'FEBRERO 2025'!B51</f>
        <v/>
      </c>
      <c r="N6" s="6">
        <f>'FEBRERO 2025'!B52</f>
        <v/>
      </c>
    </row>
    <row r="7">
      <c r="A7" s="4" t="inlineStr">
        <is>
          <t>MARZO 2025</t>
        </is>
      </c>
      <c r="B7" s="6">
        <f>'MARZO 2025'!B42</f>
        <v/>
      </c>
      <c r="C7" s="6">
        <f>'MARZO 2025'!B43</f>
        <v/>
      </c>
      <c r="D7" s="6">
        <f>'MARZO 2025'!B44</f>
        <v/>
      </c>
      <c r="E7" s="6">
        <f>'MARZO 2025'!B45</f>
        <v/>
      </c>
      <c r="F7" s="6">
        <f>'MARZO 2025'!B46</f>
        <v/>
      </c>
      <c r="G7" s="6">
        <f>'MARZO 2025'!B47</f>
        <v/>
      </c>
      <c r="H7" s="6">
        <f>'MARZO 2025'!B48</f>
        <v/>
      </c>
      <c r="I7" s="11">
        <f>'MARZO 2025'!B49</f>
        <v/>
      </c>
      <c r="J7" s="12">
        <f>'MARZO 2025'!B50</f>
        <v/>
      </c>
      <c r="K7" s="11">
        <f>'MARZO 2025'!B51</f>
        <v/>
      </c>
      <c r="L7" s="6">
        <f>'MARZO 2025'!B52</f>
        <v/>
      </c>
      <c r="M7" s="6">
        <f>'MARZO 2025'!B54</f>
        <v/>
      </c>
      <c r="N7" s="6">
        <f>'MARZO 2025'!B55</f>
        <v/>
      </c>
    </row>
    <row r="8">
      <c r="A8" s="4" t="inlineStr">
        <is>
          <t>ABRIL 2025</t>
        </is>
      </c>
      <c r="B8" s="6">
        <f>'ABRIL 2025'!B41</f>
        <v/>
      </c>
      <c r="C8" s="6">
        <f>'ABRIL 2025'!B42</f>
        <v/>
      </c>
      <c r="D8" s="6">
        <f>'ABRIL 2025'!B43</f>
        <v/>
      </c>
      <c r="E8" s="6">
        <f>'ABRIL 2025'!B44</f>
        <v/>
      </c>
      <c r="F8" s="6">
        <f>'ABRIL 2025'!B45</f>
        <v/>
      </c>
      <c r="G8" s="6">
        <f>'ABRIL 2025'!B46</f>
        <v/>
      </c>
      <c r="H8" s="6">
        <f>'ABRIL 2025'!B47</f>
        <v/>
      </c>
      <c r="I8" s="11">
        <f>'ABRIL 2025'!B48</f>
        <v/>
      </c>
      <c r="J8" s="12">
        <f>'ABRIL 2025'!B49</f>
        <v/>
      </c>
      <c r="K8" s="11">
        <f>'ABRIL 2025'!B50</f>
        <v/>
      </c>
      <c r="L8" s="6">
        <f>'ABRIL 2025'!B51</f>
        <v/>
      </c>
      <c r="M8" s="6">
        <f>'ABRIL 2025'!B53</f>
        <v/>
      </c>
      <c r="N8" s="6">
        <f>'ABRIL 2025'!B54</f>
        <v/>
      </c>
    </row>
    <row r="9">
      <c r="A9" s="4" t="inlineStr">
        <is>
          <t>MAYO 2025</t>
        </is>
      </c>
      <c r="B9" s="6">
        <f>'MAYO 2025'!B42</f>
        <v/>
      </c>
      <c r="C9" s="6">
        <f>'MAYO 2025'!B43</f>
        <v/>
      </c>
      <c r="D9" s="6">
        <f>'MAYO 2025'!B44</f>
        <v/>
      </c>
      <c r="E9" s="6">
        <f>'MAYO 2025'!B45</f>
        <v/>
      </c>
      <c r="F9" s="6">
        <f>'MAYO 2025'!B46</f>
        <v/>
      </c>
      <c r="G9" s="6">
        <f>'MAYO 2025'!B47</f>
        <v/>
      </c>
      <c r="H9" s="6">
        <f>'MAYO 2025'!B48</f>
        <v/>
      </c>
      <c r="I9" s="11">
        <f>'MAYO 2025'!B49</f>
        <v/>
      </c>
      <c r="J9" s="12">
        <f>'MAYO 2025'!B50</f>
        <v/>
      </c>
      <c r="K9" s="11">
        <f>'MAYO 2025'!B51</f>
        <v/>
      </c>
      <c r="L9" s="6">
        <f>'MAYO 2025'!B52</f>
        <v/>
      </c>
      <c r="M9" s="6">
        <f>'MAYO 2025'!B54</f>
        <v/>
      </c>
      <c r="N9" s="6">
        <f>'MAYO 2025'!B55</f>
        <v/>
      </c>
    </row>
    <row r="10">
      <c r="A10" s="4" t="inlineStr">
        <is>
          <t>JUNIO 2025</t>
        </is>
      </c>
      <c r="B10" s="6">
        <f>'JUNIO 2025'!B41</f>
        <v/>
      </c>
      <c r="C10" s="6">
        <f>'JUNIO 2025'!B42</f>
        <v/>
      </c>
      <c r="D10" s="6">
        <f>'JUNIO 2025'!B43</f>
        <v/>
      </c>
      <c r="E10" s="6">
        <f>'JUNIO 2025'!B44</f>
        <v/>
      </c>
      <c r="F10" s="6">
        <f>'JUNIO 2025'!B45</f>
        <v/>
      </c>
      <c r="G10" s="6">
        <f>'JUNIO 2025'!B46</f>
        <v/>
      </c>
      <c r="H10" s="6">
        <f>'JUNIO 2025'!B47</f>
        <v/>
      </c>
      <c r="I10" s="11">
        <f>'JUNIO 2025'!B48</f>
        <v/>
      </c>
      <c r="J10" s="12">
        <f>'JUNIO 2025'!B49</f>
        <v/>
      </c>
      <c r="K10" s="11">
        <f>'JUNIO 2025'!B50</f>
        <v/>
      </c>
      <c r="L10" s="6">
        <f>'JUNIO 2025'!B51</f>
        <v/>
      </c>
      <c r="M10" s="6">
        <f>'JUNIO 2025'!B53</f>
        <v/>
      </c>
      <c r="N10" s="6">
        <f>'JUNIO 2025'!B54</f>
        <v/>
      </c>
    </row>
    <row r="11">
      <c r="A11" s="4" t="inlineStr">
        <is>
          <t>JULIO 2025</t>
        </is>
      </c>
      <c r="B11" s="6">
        <f>'JULIO 2025'!B42</f>
        <v/>
      </c>
      <c r="C11" s="6">
        <f>'JULIO 2025'!B43</f>
        <v/>
      </c>
      <c r="D11" s="6">
        <f>'JULIO 2025'!B44</f>
        <v/>
      </c>
      <c r="E11" s="6">
        <f>'JULIO 2025'!B45</f>
        <v/>
      </c>
      <c r="F11" s="6">
        <f>'JULIO 2025'!B46</f>
        <v/>
      </c>
      <c r="G11" s="6">
        <f>'JULIO 2025'!B47</f>
        <v/>
      </c>
      <c r="H11" s="6">
        <f>'JULIO 2025'!B48</f>
        <v/>
      </c>
      <c r="I11" s="11">
        <f>'JULIO 2025'!B49</f>
        <v/>
      </c>
      <c r="J11" s="12">
        <f>'JULIO 2025'!B50</f>
        <v/>
      </c>
      <c r="K11" s="11">
        <f>'JULIO 2025'!B51</f>
        <v/>
      </c>
      <c r="L11" s="6">
        <f>'JULIO 2025'!B52</f>
        <v/>
      </c>
      <c r="M11" s="6">
        <f>'JULIO 2025'!B54</f>
        <v/>
      </c>
      <c r="N11" s="6">
        <f>'JULIO 2025'!B55</f>
        <v/>
      </c>
    </row>
    <row r="12">
      <c r="A12" s="4" t="inlineStr">
        <is>
          <t>AGOSTO 2025</t>
        </is>
      </c>
      <c r="B12" s="6">
        <f>'AGOSTO 2025'!B42</f>
        <v/>
      </c>
      <c r="C12" s="6">
        <f>'AGOSTO 2025'!B43</f>
        <v/>
      </c>
      <c r="D12" s="6">
        <f>'AGOSTO 2025'!B44</f>
        <v/>
      </c>
      <c r="E12" s="6">
        <f>'AGOSTO 2025'!B45</f>
        <v/>
      </c>
      <c r="F12" s="6">
        <f>'AGOSTO 2025'!B46</f>
        <v/>
      </c>
      <c r="G12" s="6">
        <f>'AGOSTO 2025'!B47</f>
        <v/>
      </c>
      <c r="H12" s="6">
        <f>'AGOSTO 2025'!B48</f>
        <v/>
      </c>
      <c r="I12" s="11">
        <f>'AGOSTO 2025'!B49</f>
        <v/>
      </c>
      <c r="J12" s="12">
        <f>'AGOSTO 2025'!B50</f>
        <v/>
      </c>
      <c r="K12" s="11">
        <f>'AGOSTO 2025'!B51</f>
        <v/>
      </c>
      <c r="L12" s="6">
        <f>'AGOSTO 2025'!B52</f>
        <v/>
      </c>
      <c r="M12" s="6">
        <f>'AGOSTO 2025'!B54</f>
        <v/>
      </c>
      <c r="N12" s="6">
        <f>'AGOSTO 2025'!B55</f>
        <v/>
      </c>
    </row>
    <row r="13">
      <c r="A13" s="4" t="inlineStr">
        <is>
          <t>SEPTIEMBRE 2025</t>
        </is>
      </c>
      <c r="B13" s="6">
        <f>'SEPTIEMBRE 2025'!B41</f>
        <v/>
      </c>
      <c r="C13" s="6">
        <f>'SEPTIEMBRE 2025'!B42</f>
        <v/>
      </c>
      <c r="D13" s="6">
        <f>'SEPTIEMBRE 2025'!B43</f>
        <v/>
      </c>
      <c r="E13" s="6">
        <f>'SEPTIEMBRE 2025'!B44</f>
        <v/>
      </c>
      <c r="F13" s="6">
        <f>'SEPTIEMBRE 2025'!B45</f>
        <v/>
      </c>
      <c r="G13" s="6">
        <f>'SEPTIEMBRE 2025'!B46</f>
        <v/>
      </c>
      <c r="H13" s="6">
        <f>'SEPTIEMBRE 2025'!B47</f>
        <v/>
      </c>
      <c r="I13" s="11">
        <f>'SEPTIEMBRE 2025'!B48</f>
        <v/>
      </c>
      <c r="J13" s="12">
        <f>'SEPTIEMBRE 2025'!B49</f>
        <v/>
      </c>
      <c r="K13" s="11">
        <f>'SEPTIEMBRE 2025'!B50</f>
        <v/>
      </c>
      <c r="L13" s="6">
        <f>'SEPTIEMBRE 2025'!B51</f>
        <v/>
      </c>
      <c r="M13" s="6">
        <f>'SEPTIEMBRE 2025'!B53</f>
        <v/>
      </c>
      <c r="N13" s="6">
        <f>'SEPTIEMBRE 2025'!B54</f>
        <v/>
      </c>
    </row>
    <row r="14">
      <c r="A14" s="4" t="inlineStr">
        <is>
          <t>OCTUBRE 2025</t>
        </is>
      </c>
      <c r="B14" s="6">
        <f>'OCTUBRE 2025'!B42</f>
        <v/>
      </c>
      <c r="C14" s="6">
        <f>'OCTUBRE 2025'!B43</f>
        <v/>
      </c>
      <c r="D14" s="6">
        <f>'OCTUBRE 2025'!B44</f>
        <v/>
      </c>
      <c r="E14" s="6">
        <f>'OCTUBRE 2025'!B45</f>
        <v/>
      </c>
      <c r="F14" s="6">
        <f>'OCTUBRE 2025'!B46</f>
        <v/>
      </c>
      <c r="G14" s="6">
        <f>'OCTUBRE 2025'!B47</f>
        <v/>
      </c>
      <c r="H14" s="6">
        <f>'OCTUBRE 2025'!B48</f>
        <v/>
      </c>
      <c r="I14" s="11">
        <f>'OCTUBRE 2025'!B49</f>
        <v/>
      </c>
      <c r="J14" s="12">
        <f>'OCTUBRE 2025'!B50</f>
        <v/>
      </c>
      <c r="K14" s="11">
        <f>'OCTUBRE 2025'!B51</f>
        <v/>
      </c>
      <c r="L14" s="6">
        <f>'OCTUBRE 2025'!B52</f>
        <v/>
      </c>
      <c r="M14" s="6">
        <f>'OCTUBRE 2025'!B54</f>
        <v/>
      </c>
      <c r="N14" s="6">
        <f>'OCTUBRE 2025'!B55</f>
        <v/>
      </c>
    </row>
    <row r="15">
      <c r="A15" s="4" t="inlineStr">
        <is>
          <t>NOVIEMBRE 2025</t>
        </is>
      </c>
      <c r="B15" s="6">
        <f>'NOVIEMBRE 2025'!B41</f>
        <v/>
      </c>
      <c r="C15" s="6">
        <f>'NOVIEMBRE 2025'!B42</f>
        <v/>
      </c>
      <c r="D15" s="6">
        <f>'NOVIEMBRE 2025'!B43</f>
        <v/>
      </c>
      <c r="E15" s="6">
        <f>'NOVIEMBRE 2025'!B44</f>
        <v/>
      </c>
      <c r="F15" s="6">
        <f>'NOVIEMBRE 2025'!B45</f>
        <v/>
      </c>
      <c r="G15" s="6">
        <f>'NOVIEMBRE 2025'!B46</f>
        <v/>
      </c>
      <c r="H15" s="6">
        <f>'NOVIEMBRE 2025'!B47</f>
        <v/>
      </c>
      <c r="I15" s="11">
        <f>'NOVIEMBRE 2025'!B48</f>
        <v/>
      </c>
      <c r="J15" s="12">
        <f>'NOVIEMBRE 2025'!B49</f>
        <v/>
      </c>
      <c r="K15" s="11">
        <f>'NOVIEMBRE 2025'!B50</f>
        <v/>
      </c>
      <c r="L15" s="6">
        <f>'NOVIEMBRE 2025'!B51</f>
        <v/>
      </c>
      <c r="M15" s="6">
        <f>'NOVIEMBRE 2025'!B53</f>
        <v/>
      </c>
      <c r="N15" s="6">
        <f>'NOVIEMBRE 2025'!B54</f>
        <v/>
      </c>
    </row>
    <row r="16">
      <c r="A16" s="4" t="inlineStr">
        <is>
          <t>DICIEMBRE 2025</t>
        </is>
      </c>
      <c r="B16" s="6">
        <f>'DICIEMBRE 2025'!B42</f>
        <v/>
      </c>
      <c r="C16" s="6">
        <f>'DICIEMBRE 2025'!B43</f>
        <v/>
      </c>
      <c r="D16" s="6">
        <f>'DICIEMBRE 2025'!B44</f>
        <v/>
      </c>
      <c r="E16" s="6">
        <f>'DICIEMBRE 2025'!B45</f>
        <v/>
      </c>
      <c r="F16" s="6">
        <f>'DICIEMBRE 2025'!B46</f>
        <v/>
      </c>
      <c r="G16" s="6">
        <f>'DICIEMBRE 2025'!B47</f>
        <v/>
      </c>
      <c r="H16" s="6">
        <f>'DICIEMBRE 2025'!B48</f>
        <v/>
      </c>
      <c r="I16" s="11">
        <f>'DICIEMBRE 2025'!B49</f>
        <v/>
      </c>
      <c r="J16" s="12">
        <f>'DICIEMBRE 2025'!B50</f>
        <v/>
      </c>
      <c r="K16" s="11">
        <f>'DICIEMBRE 2025'!B51</f>
        <v/>
      </c>
      <c r="L16" s="6">
        <f>'DICIEMBRE 2025'!B52</f>
        <v/>
      </c>
      <c r="M16" s="6">
        <f>'DICIEMBRE 2025'!B54</f>
        <v/>
      </c>
      <c r="N16" s="6">
        <f>'DICIEMBRE 2025'!B55</f>
        <v/>
      </c>
    </row>
    <row r="17">
      <c r="A17" s="4" t="inlineStr">
        <is>
          <t>ENERO 2026</t>
        </is>
      </c>
      <c r="B17" s="6">
        <f>'ENERO 2026'!B42</f>
        <v/>
      </c>
      <c r="C17" s="6">
        <f>'ENERO 2026'!B43</f>
        <v/>
      </c>
      <c r="D17" s="6">
        <f>'ENERO 2026'!B44</f>
        <v/>
      </c>
      <c r="E17" s="6">
        <f>'ENERO 2026'!B45</f>
        <v/>
      </c>
      <c r="F17" s="6">
        <f>'ENERO 2026'!B46</f>
        <v/>
      </c>
      <c r="G17" s="6">
        <f>'ENERO 2026'!B47</f>
        <v/>
      </c>
      <c r="H17" s="6">
        <f>'ENERO 2026'!B48</f>
        <v/>
      </c>
      <c r="I17" s="11">
        <f>'ENERO 2026'!B49</f>
        <v/>
      </c>
      <c r="J17" s="12">
        <f>'ENERO 2026'!B50</f>
        <v/>
      </c>
      <c r="K17" s="11">
        <f>'ENERO 2026'!B51</f>
        <v/>
      </c>
      <c r="L17" s="6">
        <f>'ENERO 2026'!B52</f>
        <v/>
      </c>
      <c r="M17" s="6">
        <f>'ENERO 2026'!B54</f>
        <v/>
      </c>
      <c r="N17" s="6">
        <f>'ENERO 2026'!B55</f>
        <v/>
      </c>
    </row>
    <row r="18">
      <c r="A18" s="4" t="inlineStr">
        <is>
          <t>FEBRERO 2026</t>
        </is>
      </c>
      <c r="B18" s="6">
        <f>'FEBRERO 2026'!B39</f>
        <v/>
      </c>
      <c r="C18" s="6">
        <f>'FEBRERO 2026'!B40</f>
        <v/>
      </c>
      <c r="D18" s="6">
        <f>'FEBRERO 2026'!B41</f>
        <v/>
      </c>
      <c r="E18" s="6">
        <f>'FEBRERO 2026'!B42</f>
        <v/>
      </c>
      <c r="F18" s="6">
        <f>'FEBRERO 2026'!B43</f>
        <v/>
      </c>
      <c r="G18" s="6">
        <f>'FEBRERO 2026'!B44</f>
        <v/>
      </c>
      <c r="H18" s="6">
        <f>'FEBRERO 2026'!B45</f>
        <v/>
      </c>
      <c r="I18" s="11">
        <f>'FEBRERO 2026'!B46</f>
        <v/>
      </c>
      <c r="J18" s="12">
        <f>'FEBRERO 2026'!B47</f>
        <v/>
      </c>
      <c r="K18" s="11">
        <f>'FEBRERO 2026'!B48</f>
        <v/>
      </c>
      <c r="L18" s="6">
        <f>'FEBRERO 2026'!B49</f>
        <v/>
      </c>
      <c r="M18" s="6">
        <f>'FEBRERO 2026'!B51</f>
        <v/>
      </c>
      <c r="N18" s="6">
        <f>'FEBRERO 2026'!B52</f>
        <v/>
      </c>
    </row>
  </sheetData>
  <mergeCells count="1">
    <mergeCell ref="A1:N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8" customWidth="1" min="1" max="1"/>
    <col width="16" customWidth="1" min="2" max="2"/>
    <col width="14" customWidth="1" min="3" max="3"/>
    <col width="18" customWidth="1" min="4" max="4"/>
    <col width="14" customWidth="1" min="5" max="5"/>
    <col width="12" customWidth="1" min="6" max="6"/>
  </cols>
  <sheetData>
    <row r="1">
      <c r="A1" s="1" t="inlineStr">
        <is>
          <t>CONTROL GLOBAL</t>
        </is>
      </c>
    </row>
    <row r="3">
      <c r="A3" s="5" t="inlineStr">
        <is>
          <t>Mes</t>
        </is>
      </c>
      <c r="B3" s="5" t="inlineStr">
        <is>
          <t>Estado migracion</t>
        </is>
      </c>
      <c r="C3" s="5" t="inlineStr">
        <is>
          <t>Dias con alerta</t>
        </is>
      </c>
      <c r="D3" s="5" t="inlineStr">
        <is>
          <t>Dias con sobreocupacion</t>
        </is>
      </c>
      <c r="E3" s="5" t="inlineStr">
        <is>
          <t>Balance del mes</t>
        </is>
      </c>
      <c r="F3" s="5" t="inlineStr">
        <is>
          <t>Semaforo</t>
        </is>
      </c>
    </row>
    <row r="4">
      <c r="A4" s="4" t="inlineStr">
        <is>
          <t>DICIEMBRE 2024</t>
        </is>
      </c>
      <c r="B4" s="6">
        <f>03_MIGRACION!B4</f>
        <v/>
      </c>
      <c r="C4" s="6">
        <f>'DICIEMBRE 2024'!B55</f>
        <v/>
      </c>
      <c r="D4" s="6">
        <f>'DICIEMBRE 2024'!B54</f>
        <v/>
      </c>
      <c r="E4" s="6">
        <f>'DICIEMBRE 2024'!B53</f>
        <v/>
      </c>
      <c r="F4" s="6">
        <f>IF(OR(C4&gt;0,E4&lt;&gt;0),"REVISAR","OK")</f>
        <v/>
      </c>
    </row>
    <row r="5">
      <c r="A5" s="4" t="inlineStr">
        <is>
          <t>ENERO 2025</t>
        </is>
      </c>
      <c r="B5" s="6">
        <f>03_MIGRACION!B5</f>
        <v/>
      </c>
      <c r="C5" s="6">
        <f>'ENERO 2025'!B55</f>
        <v/>
      </c>
      <c r="D5" s="6">
        <f>'ENERO 2025'!B54</f>
        <v/>
      </c>
      <c r="E5" s="6">
        <f>'ENERO 2025'!B53</f>
        <v/>
      </c>
      <c r="F5" s="6">
        <f>IF(OR(C5&gt;0,E5&lt;&gt;0),"REVISAR","OK")</f>
        <v/>
      </c>
    </row>
    <row r="6">
      <c r="A6" s="4" t="inlineStr">
        <is>
          <t>FEBRERO 2025</t>
        </is>
      </c>
      <c r="B6" s="6">
        <f>03_MIGRACION!B6</f>
        <v/>
      </c>
      <c r="C6" s="6">
        <f>'FEBRERO 2025'!B52</f>
        <v/>
      </c>
      <c r="D6" s="6">
        <f>'FEBRERO 2025'!B51</f>
        <v/>
      </c>
      <c r="E6" s="6">
        <f>'FEBRERO 2025'!B50</f>
        <v/>
      </c>
      <c r="F6" s="6">
        <f>IF(OR(C6&gt;0,E6&lt;&gt;0),"REVISAR","OK")</f>
        <v/>
      </c>
    </row>
    <row r="7">
      <c r="A7" s="4" t="inlineStr">
        <is>
          <t>MARZO 2025</t>
        </is>
      </c>
      <c r="B7" s="6">
        <f>03_MIGRACION!B7</f>
        <v/>
      </c>
      <c r="C7" s="6">
        <f>'MARZO 2025'!B55</f>
        <v/>
      </c>
      <c r="D7" s="6">
        <f>'MARZO 2025'!B54</f>
        <v/>
      </c>
      <c r="E7" s="6">
        <f>'MARZO 2025'!B53</f>
        <v/>
      </c>
      <c r="F7" s="6">
        <f>IF(OR(C7&gt;0,E7&lt;&gt;0),"REVISAR","OK")</f>
        <v/>
      </c>
    </row>
    <row r="8">
      <c r="A8" s="4" t="inlineStr">
        <is>
          <t>ABRIL 2025</t>
        </is>
      </c>
      <c r="B8" s="6">
        <f>03_MIGRACION!B8</f>
        <v/>
      </c>
      <c r="C8" s="6">
        <f>'ABRIL 2025'!B54</f>
        <v/>
      </c>
      <c r="D8" s="6">
        <f>'ABRIL 2025'!B53</f>
        <v/>
      </c>
      <c r="E8" s="6">
        <f>'ABRIL 2025'!B52</f>
        <v/>
      </c>
      <c r="F8" s="6">
        <f>IF(OR(C8&gt;0,E8&lt;&gt;0),"REVISAR","OK")</f>
        <v/>
      </c>
    </row>
    <row r="9">
      <c r="A9" s="4" t="inlineStr">
        <is>
          <t>MAYO 2025</t>
        </is>
      </c>
      <c r="B9" s="6">
        <f>03_MIGRACION!B9</f>
        <v/>
      </c>
      <c r="C9" s="6">
        <f>'MAYO 2025'!B55</f>
        <v/>
      </c>
      <c r="D9" s="6">
        <f>'MAYO 2025'!B54</f>
        <v/>
      </c>
      <c r="E9" s="6">
        <f>'MAYO 2025'!B53</f>
        <v/>
      </c>
      <c r="F9" s="6">
        <f>IF(OR(C9&gt;0,E9&lt;&gt;0),"REVISAR","OK")</f>
        <v/>
      </c>
    </row>
    <row r="10">
      <c r="A10" s="4" t="inlineStr">
        <is>
          <t>JUNIO 2025</t>
        </is>
      </c>
      <c r="B10" s="6">
        <f>03_MIGRACION!B10</f>
        <v/>
      </c>
      <c r="C10" s="6">
        <f>'JUNIO 2025'!B54</f>
        <v/>
      </c>
      <c r="D10" s="6">
        <f>'JUNIO 2025'!B53</f>
        <v/>
      </c>
      <c r="E10" s="6">
        <f>'JUNIO 2025'!B52</f>
        <v/>
      </c>
      <c r="F10" s="6">
        <f>IF(OR(C10&gt;0,E10&lt;&gt;0),"REVISAR","OK")</f>
        <v/>
      </c>
    </row>
    <row r="11">
      <c r="A11" s="4" t="inlineStr">
        <is>
          <t>JULIO 2025</t>
        </is>
      </c>
      <c r="B11" s="6">
        <f>03_MIGRACION!B11</f>
        <v/>
      </c>
      <c r="C11" s="6">
        <f>'JULIO 2025'!B55</f>
        <v/>
      </c>
      <c r="D11" s="6">
        <f>'JULIO 2025'!B54</f>
        <v/>
      </c>
      <c r="E11" s="6">
        <f>'JULIO 2025'!B53</f>
        <v/>
      </c>
      <c r="F11" s="6">
        <f>IF(OR(C11&gt;0,E11&lt;&gt;0),"REVISAR","OK")</f>
        <v/>
      </c>
    </row>
    <row r="12">
      <c r="A12" s="4" t="inlineStr">
        <is>
          <t>AGOSTO 2025</t>
        </is>
      </c>
      <c r="B12" s="6">
        <f>03_MIGRACION!B12</f>
        <v/>
      </c>
      <c r="C12" s="6">
        <f>'AGOSTO 2025'!B55</f>
        <v/>
      </c>
      <c r="D12" s="6">
        <f>'AGOSTO 2025'!B54</f>
        <v/>
      </c>
      <c r="E12" s="6">
        <f>'AGOSTO 2025'!B53</f>
        <v/>
      </c>
      <c r="F12" s="6">
        <f>IF(OR(C12&gt;0,E12&lt;&gt;0),"REVISAR","OK")</f>
        <v/>
      </c>
    </row>
    <row r="13">
      <c r="A13" s="4" t="inlineStr">
        <is>
          <t>SEPTIEMBRE 2025</t>
        </is>
      </c>
      <c r="B13" s="6">
        <f>03_MIGRACION!B13</f>
        <v/>
      </c>
      <c r="C13" s="6">
        <f>'SEPTIEMBRE 2025'!B54</f>
        <v/>
      </c>
      <c r="D13" s="6">
        <f>'SEPTIEMBRE 2025'!B53</f>
        <v/>
      </c>
      <c r="E13" s="6">
        <f>'SEPTIEMBRE 2025'!B52</f>
        <v/>
      </c>
      <c r="F13" s="6">
        <f>IF(OR(C13&gt;0,E13&lt;&gt;0),"REVISAR","OK")</f>
        <v/>
      </c>
    </row>
    <row r="14">
      <c r="A14" s="4" t="inlineStr">
        <is>
          <t>OCTUBRE 2025</t>
        </is>
      </c>
      <c r="B14" s="6">
        <f>03_MIGRACION!B14</f>
        <v/>
      </c>
      <c r="C14" s="6">
        <f>'OCTUBRE 2025'!B55</f>
        <v/>
      </c>
      <c r="D14" s="6">
        <f>'OCTUBRE 2025'!B54</f>
        <v/>
      </c>
      <c r="E14" s="6">
        <f>'OCTUBRE 2025'!B53</f>
        <v/>
      </c>
      <c r="F14" s="6">
        <f>IF(OR(C14&gt;0,E14&lt;&gt;0),"REVISAR","OK")</f>
        <v/>
      </c>
    </row>
    <row r="15">
      <c r="A15" s="4" t="inlineStr">
        <is>
          <t>NOVIEMBRE 2025</t>
        </is>
      </c>
      <c r="B15" s="6">
        <f>03_MIGRACION!B15</f>
        <v/>
      </c>
      <c r="C15" s="6">
        <f>'NOVIEMBRE 2025'!B54</f>
        <v/>
      </c>
      <c r="D15" s="6">
        <f>'NOVIEMBRE 2025'!B53</f>
        <v/>
      </c>
      <c r="E15" s="6">
        <f>'NOVIEMBRE 2025'!B52</f>
        <v/>
      </c>
      <c r="F15" s="6">
        <f>IF(OR(C15&gt;0,E15&lt;&gt;0),"REVISAR","OK")</f>
        <v/>
      </c>
    </row>
    <row r="16">
      <c r="A16" s="4" t="inlineStr">
        <is>
          <t>DICIEMBRE 2025</t>
        </is>
      </c>
      <c r="B16" s="6">
        <f>03_MIGRACION!B16</f>
        <v/>
      </c>
      <c r="C16" s="6">
        <f>'DICIEMBRE 2025'!B55</f>
        <v/>
      </c>
      <c r="D16" s="6">
        <f>'DICIEMBRE 2025'!B54</f>
        <v/>
      </c>
      <c r="E16" s="6">
        <f>'DICIEMBRE 2025'!B53</f>
        <v/>
      </c>
      <c r="F16" s="6">
        <f>IF(OR(C16&gt;0,E16&lt;&gt;0),"REVISAR","OK")</f>
        <v/>
      </c>
    </row>
    <row r="17">
      <c r="A17" s="4" t="inlineStr">
        <is>
          <t>ENERO 2026</t>
        </is>
      </c>
      <c r="B17" s="6">
        <f>03_MIGRACION!B17</f>
        <v/>
      </c>
      <c r="C17" s="6">
        <f>'ENERO 2026'!B55</f>
        <v/>
      </c>
      <c r="D17" s="6">
        <f>'ENERO 2026'!B54</f>
        <v/>
      </c>
      <c r="E17" s="6">
        <f>'ENERO 2026'!B53</f>
        <v/>
      </c>
      <c r="F17" s="6">
        <f>IF(OR(C17&gt;0,E17&lt;&gt;0),"REVISAR","OK")</f>
        <v/>
      </c>
    </row>
    <row r="18">
      <c r="A18" s="4" t="inlineStr">
        <is>
          <t>FEBRERO 2026</t>
        </is>
      </c>
      <c r="B18" s="6">
        <f>03_MIGRACION!B18</f>
        <v/>
      </c>
      <c r="C18" s="6">
        <f>'FEBRERO 2026'!B52</f>
        <v/>
      </c>
      <c r="D18" s="6">
        <f>'FEBRERO 2026'!B51</f>
        <v/>
      </c>
      <c r="E18" s="6">
        <f>'FEBRERO 2026'!B50</f>
        <v/>
      </c>
      <c r="F18" s="6">
        <f>IF(OR(C18&gt;0,E18&lt;&gt;0),"REVISAR","OK")</f>
        <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2026-03-30T19:21:49Z</dcterms:created>
  <dcterms:modified xsi:type="dcterms:W3CDTF">2026-03-30T19:26:47Z</dcterms:modified>
</cp:coreProperties>
</file>