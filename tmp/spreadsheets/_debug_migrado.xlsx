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PORTADA" sheetId="1" state="visible" r:id="rId1"/>
    <sheet name="01_PARAMETROS" sheetId="2" state="visible" r:id="rId2"/>
    <sheet name="02_DICCIONARIO" sheetId="3" state="visible" r:id="rId3"/>
    <sheet name="03_MIGRACION" sheetId="4" state="visible" r:id="rId4"/>
    <sheet name="DICIEMBRE 2024" sheetId="5" state="visible" r:id="rId5"/>
    <sheet name="ENERO 2025" sheetId="6" state="visible" r:id="rId6"/>
    <sheet name="FEBRERO 2025" sheetId="7" state="visible" r:id="rId7"/>
    <sheet name="MARZO 2025" sheetId="8" state="visible" r:id="rId8"/>
    <sheet name="ABRIL 2025" sheetId="9" state="visible" r:id="rId9"/>
    <sheet name="MAYO 2025" sheetId="10" state="visible" r:id="rId10"/>
    <sheet name="JUNIO 2025" sheetId="11" state="visible" r:id="rId11"/>
    <sheet name="JULIO 2025" sheetId="12" state="visible" r:id="rId12"/>
    <sheet name="AGOSTO 2025" sheetId="13" state="visible" r:id="rId13"/>
    <sheet name="SEPTIEMBRE 2025" sheetId="14" state="visible" r:id="rId14"/>
    <sheet name="OCTUBRE 2025" sheetId="15" state="visible" r:id="rId15"/>
    <sheet name="NOVIEMBRE 2025" sheetId="16" state="visible" r:id="rId16"/>
    <sheet name="DICIEMBRE 2025" sheetId="17" state="visible" r:id="rId17"/>
    <sheet name="ENERO 2026" sheetId="18" state="visible" r:id="rId18"/>
    <sheet name="FEBRERO 2026" sheetId="19" state="visible" r:id="rId19"/>
    <sheet name="90_RESUMEN_GLOBAL" sheetId="20" state="visible" r:id="rId20"/>
    <sheet name="99_CONTROL_GLOBAL" sheetId="21" state="visible" r:id="rId2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7">
    <fill>
      <patternFill/>
    </fill>
    <fill>
      <patternFill patternType="gray125"/>
    </fill>
    <fill>
      <patternFill patternType="solid">
        <fgColor rgb="00173F5F"/>
      </patternFill>
    </fill>
    <fill>
      <patternFill patternType="solid">
        <fgColor rgb="00D9EAF7"/>
      </patternFill>
    </fill>
    <fill>
      <patternFill patternType="solid">
        <fgColor rgb="00FFF2CC"/>
      </patternFill>
    </fill>
    <fill>
      <patternFill patternType="solid">
        <fgColor rgb="00EEF5FB"/>
      </patternFill>
    </fill>
    <fill>
      <patternFill patternType="solid">
        <fgColor rgb="00E2F0D9"/>
      </patternFill>
    </fill>
  </fills>
  <borders count="6">
    <border>
      <left/>
      <right/>
      <top/>
      <bottom/>
      <diagonal/>
    </border>
    <border>
      <left style="thin">
        <color rgb="00D7DEE7"/>
      </left>
      <right style="thin">
        <color rgb="00D7DEE7"/>
      </right>
      <top style="thin">
        <color rgb="00D7DEE7"/>
      </top>
      <bottom style="thin">
        <color rgb="00D7DEE7"/>
      </bottom>
    </border>
    <border>
      <left/>
      <right/>
      <top style="thin">
        <color rgb="00D7DEE7"/>
      </top>
      <bottom/>
      <diagonal/>
    </border>
    <border>
      <left/>
      <right style="thin">
        <color rgb="00D7DEE7"/>
      </right>
      <top style="thin">
        <color rgb="00D7DEE7"/>
      </top>
      <bottom/>
      <diagonal/>
    </border>
    <border>
      <left/>
      <right/>
      <top style="thin">
        <color rgb="00D7DEE7"/>
      </top>
      <bottom style="thin">
        <color rgb="00D7DEE7"/>
      </bottom>
      <diagonal/>
    </border>
    <border>
      <left/>
      <right style="thin">
        <color rgb="00D7DEE7"/>
      </right>
      <top style="thin">
        <color rgb="00D7DEE7"/>
      </top>
      <bottom style="thin">
        <color rgb="00D7DEE7"/>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3" borderId="1" pivotButton="0" quotePrefix="0" xfId="0"/>
    <xf numFmtId="0" fontId="0" fillId="4" borderId="1" applyProtection="1" pivotButton="0" quotePrefix="0" xfId="0">
      <protection locked="0" hidden="0"/>
    </xf>
    <xf numFmtId="0" fontId="0" fillId="0" borderId="1" pivotButton="0" quotePrefix="0" xfId="0"/>
    <xf numFmtId="0" fontId="2" fillId="5" borderId="1" pivotButton="0" quotePrefix="0" xfId="0"/>
    <xf numFmtId="0" fontId="0" fillId="6" borderId="1" pivotButton="0" quotePrefix="0" xfId="0"/>
    <xf numFmtId="0" fontId="2" fillId="5" borderId="1" applyAlignment="1" pivotButton="0" quotePrefix="0" xfId="0">
      <alignment horizontal="center" vertical="center" wrapText="1"/>
    </xf>
    <xf numFmtId="0" fontId="2" fillId="6" borderId="1" pivotButton="0" quotePrefix="0" xfId="0"/>
    <xf numFmtId="0" fontId="0" fillId="0" borderId="4" pivotButton="0" quotePrefix="0" xfId="0"/>
    <xf numFmtId="0" fontId="0" fillId="0" borderId="5" pivotButton="0" quotePrefix="0" xfId="0"/>
    <xf numFmtId="2" fontId="0" fillId="6" borderId="1" pivotButton="0" quotePrefix="0" xfId="0"/>
    <xf numFmtId="1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2" customWidth="1" min="1" max="1"/>
    <col width="24" customWidth="1" min="2" max="2"/>
    <col width="20" customWidth="1" min="3" max="3"/>
    <col width="20" customWidth="1" min="4" max="4"/>
    <col width="20" customWidth="1" min="5" max="5"/>
    <col width="20" customWidth="1" min="6" max="6"/>
  </cols>
  <sheetData>
    <row r="1">
      <c r="A1" s="1" t="inlineStr">
        <is>
          <t>HODOM - LIBRO OPERATIVO IDEAL</t>
        </is>
      </c>
    </row>
    <row r="3">
      <c r="A3" t="inlineStr">
        <is>
          <t>Para que sirve</t>
        </is>
      </c>
    </row>
    <row r="4">
      <c r="A4" t="inlineStr">
        <is>
          <t>Base nueva para reemplazar la planilla antigua sin heredar su desorden ni sus errores.</t>
        </is>
      </c>
    </row>
    <row r="5"/>
    <row r="6">
      <c r="A6" t="inlineStr">
        <is>
          <t>Que trae</t>
        </is>
      </c>
    </row>
    <row r="7">
      <c r="A7" t="inlineStr">
        <is>
          <t>1. Parametros generales.</t>
        </is>
      </c>
    </row>
    <row r="8">
      <c r="A8" t="inlineStr">
        <is>
          <t>2. Diccionario de indicadores.</t>
        </is>
      </c>
    </row>
    <row r="9">
      <c r="A9" t="inlineStr">
        <is>
          <t>3. Tracker de migracion.</t>
        </is>
      </c>
    </row>
    <row r="10">
      <c r="A10" t="inlineStr">
        <is>
          <t>4. Resumen global.</t>
        </is>
      </c>
    </row>
    <row r="11">
      <c r="A11" t="inlineStr">
        <is>
          <t>5. Una hoja mensual estandar por cada mes.</t>
        </is>
      </c>
    </row>
    <row r="12"/>
    <row r="13">
      <c r="A13" t="inlineStr">
        <is>
          <t>Como esta pensado</t>
        </is>
      </c>
    </row>
    <row r="14">
      <c r="A14" t="inlineStr">
        <is>
          <t>Las celdas amarillas son para cargar datos.</t>
        </is>
      </c>
    </row>
    <row r="15">
      <c r="A15" t="inlineStr">
        <is>
          <t>Las verdes calculan solas.</t>
        </is>
      </c>
    </row>
    <row r="16">
      <c r="A16" t="inlineStr">
        <is>
          <t>Cada hoja mensual trae control diario y resumen mensual.</t>
        </is>
      </c>
    </row>
    <row r="17">
      <c r="A17" t="inlineStr">
        <is>
          <t>Si no existe desglose por tipo, se puede cargar total informado de ingresos y/o egresos.</t>
        </is>
      </c>
    </row>
    <row r="18"/>
    <row r="19">
      <c r="A19" t="inlineStr">
        <is>
          <t>Regla base</t>
        </is>
      </c>
    </row>
    <row r="20">
      <c r="A20" t="inlineStr">
        <is>
          <t>No escribir encima de formulas. Si algo no cuadra, se corrige en la fila diaria, no en el resumen.</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26" customWidth="1" min="2" max="2"/>
    <col width="4" customWidth="1" min="3" max="3"/>
    <col width="52" customWidth="1" min="4" max="4"/>
  </cols>
  <sheetData>
    <row r="1">
      <c r="A1" s="1" t="inlineStr">
        <is>
          <t>PARAMETROS GENERALES</t>
        </is>
      </c>
    </row>
    <row r="3">
      <c r="A3" s="2" t="inlineStr">
        <is>
          <t>Servicio</t>
        </is>
      </c>
      <c r="B3" s="3" t="inlineStr">
        <is>
          <t>HODOM</t>
        </is>
      </c>
      <c r="D3" s="2" t="inlineStr">
        <is>
          <t>Criterios fijos</t>
        </is>
      </c>
    </row>
    <row r="4">
      <c r="A4" s="2" t="inlineStr">
        <is>
          <t>Codigo</t>
        </is>
      </c>
      <c r="B4" s="3" t="inlineStr"/>
      <c r="D4" s="4" t="inlineStr">
        <is>
          <t>Pacientes atendidos = censo inicial + ingresos</t>
        </is>
      </c>
    </row>
    <row r="5">
      <c r="A5" s="2" t="inlineStr">
        <is>
          <t>Camas base por dia</t>
        </is>
      </c>
      <c r="B5" s="3" t="n">
        <v>16</v>
      </c>
      <c r="D5" s="4" t="inlineStr">
        <is>
          <t>Indice ocupacional = dias cama ocupadas / dias cama disponibles</t>
        </is>
      </c>
    </row>
    <row r="6">
      <c r="A6" s="2" t="inlineStr">
        <is>
          <t>Responsable</t>
        </is>
      </c>
      <c r="B6" s="3" t="inlineStr"/>
      <c r="D6" s="4" t="inlineStr">
        <is>
          <t>Promedio dia de estada = dias estada total / total egresos</t>
        </is>
      </c>
    </row>
    <row r="7">
      <c r="A7" s="2" t="inlineStr">
        <is>
          <t>Centro / unidad</t>
        </is>
      </c>
      <c r="B7" s="3" t="inlineStr"/>
      <c r="D7" s="4" t="inlineStr">
        <is>
          <t>Si no hay desglose, se puede usar total informado del dia</t>
        </is>
      </c>
    </row>
    <row r="8">
      <c r="A8" s="2" t="inlineStr">
        <is>
          <t>Notas generales</t>
        </is>
      </c>
      <c r="B8" s="3"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14" customWidth="1" min="2" max="2"/>
    <col width="36" customWidth="1" min="3" max="3"/>
    <col width="58" customWidth="1" min="4" max="4"/>
  </cols>
  <sheetData>
    <row r="1">
      <c r="A1" s="1" t="inlineStr">
        <is>
          <t>DICCIONARIO DE CAMPOS E INDICADORES</t>
        </is>
      </c>
    </row>
    <row r="3">
      <c r="A3" s="5" t="inlineStr">
        <is>
          <t>Elemento</t>
        </is>
      </c>
      <c r="B3" s="5" t="inlineStr">
        <is>
          <t>Tipo</t>
        </is>
      </c>
      <c r="C3" s="5" t="inlineStr">
        <is>
          <t>Que significa</t>
        </is>
      </c>
      <c r="D3" s="5" t="inlineStr">
        <is>
          <t>Como se obtiene</t>
        </is>
      </c>
    </row>
    <row r="4">
      <c r="A4" s="2" t="inlineStr">
        <is>
          <t>Existencia dia anterior</t>
        </is>
      </c>
      <c r="B4" s="4" t="inlineStr">
        <is>
          <t>Dato / formula</t>
        </is>
      </c>
      <c r="C4" s="4" t="inlineStr">
        <is>
          <t>Pacientes con que parte el dia</t>
        </is>
      </c>
      <c r="D4" s="4" t="inlineStr">
        <is>
          <t>Dia 1 manual, resto arrastra desde camas ocupadas del dia previo</t>
        </is>
      </c>
    </row>
    <row r="5">
      <c r="A5" s="2" t="inlineStr">
        <is>
          <t>Total ingresos</t>
        </is>
      </c>
      <c r="B5" s="4" t="inlineStr">
        <is>
          <t>Formula</t>
        </is>
      </c>
      <c r="C5" s="4" t="inlineStr">
        <is>
          <t>Todos los ingresos del dia</t>
        </is>
      </c>
      <c r="D5" s="4" t="inlineStr">
        <is>
          <t>Si hay desglose usa la suma; si no, usa el total informado</t>
        </is>
      </c>
    </row>
    <row r="6">
      <c r="A6" s="2" t="inlineStr">
        <is>
          <t>Total ingresos informado</t>
        </is>
      </c>
      <c r="B6" s="4" t="inlineStr">
        <is>
          <t>Dato opcional</t>
        </is>
      </c>
      <c r="C6" s="4" t="inlineStr">
        <is>
          <t>Total del dia cuando no existe desglose</t>
        </is>
      </c>
      <c r="D6" s="4" t="inlineStr">
        <is>
          <t>Se carga solo si no hay detalle por tipo</t>
        </is>
      </c>
    </row>
    <row r="7">
      <c r="A7" s="2" t="inlineStr">
        <is>
          <t>Total egresos</t>
        </is>
      </c>
      <c r="B7" s="4" t="inlineStr">
        <is>
          <t>Formula</t>
        </is>
      </c>
      <c r="C7" s="4" t="inlineStr">
        <is>
          <t>Todos los egresos del dia</t>
        </is>
      </c>
      <c r="D7" s="4" t="inlineStr">
        <is>
          <t>Si hay desglose usa la suma; si no, usa el total informado</t>
        </is>
      </c>
    </row>
    <row r="8">
      <c r="A8" s="2" t="inlineStr">
        <is>
          <t>Total egresos informado</t>
        </is>
      </c>
      <c r="B8" s="4" t="inlineStr">
        <is>
          <t>Dato opcional</t>
        </is>
      </c>
      <c r="C8" s="4" t="inlineStr">
        <is>
          <t>Total del dia cuando no existe desglose</t>
        </is>
      </c>
      <c r="D8" s="4" t="inlineStr">
        <is>
          <t>Se carga solo si no hay detalle por tipo</t>
        </is>
      </c>
    </row>
    <row r="9">
      <c r="A9" s="2" t="inlineStr">
        <is>
          <t>Dias cama ocupadas</t>
        </is>
      </c>
      <c r="B9" s="4" t="inlineStr">
        <is>
          <t>Formula</t>
        </is>
      </c>
      <c r="C9" s="4" t="inlineStr">
        <is>
          <t>Censo final del dia</t>
        </is>
      </c>
      <c r="D9" s="4" t="inlineStr">
        <is>
          <t>Existencia inicial + ingresos - egresos</t>
        </is>
      </c>
    </row>
    <row r="10">
      <c r="A10" s="2" t="inlineStr">
        <is>
          <t>Pacientes atendidos del mes</t>
        </is>
      </c>
      <c r="B10" s="4" t="inlineStr">
        <is>
          <t>Formula</t>
        </is>
      </c>
      <c r="C10" s="4" t="inlineStr">
        <is>
          <t>Personas que pasaron por el servicio en el mes</t>
        </is>
      </c>
      <c r="D10" s="4" t="inlineStr">
        <is>
          <t>Censo inicial + ingresos totales</t>
        </is>
      </c>
    </row>
    <row r="11">
      <c r="A11" s="2" t="inlineStr">
        <is>
          <t>Dias personas atendidas</t>
        </is>
      </c>
      <c r="B11" s="4" t="inlineStr">
        <is>
          <t>Formula</t>
        </is>
      </c>
      <c r="C11" s="4" t="inlineStr">
        <is>
          <t>Acumulado de estada del mes</t>
        </is>
      </c>
      <c r="D11" s="4" t="inlineStr">
        <is>
          <t>Suma de dias estada total</t>
        </is>
      </c>
    </row>
    <row r="12">
      <c r="A12" s="2" t="inlineStr">
        <is>
          <t>Indice ocupacional</t>
        </is>
      </c>
      <c r="B12" s="4" t="inlineStr">
        <is>
          <t>Formula</t>
        </is>
      </c>
      <c r="C12" s="4" t="inlineStr">
        <is>
          <t>Nivel de ocupacion del mes</t>
        </is>
      </c>
      <c r="D12" s="4" t="inlineStr">
        <is>
          <t>Dias cama ocupadas / dias cama disponibles</t>
        </is>
      </c>
    </row>
    <row r="13">
      <c r="A13" s="2" t="inlineStr">
        <is>
          <t>Promedio dia de estada</t>
        </is>
      </c>
      <c r="B13" s="4" t="inlineStr">
        <is>
          <t>Formula</t>
        </is>
      </c>
      <c r="C13" s="4" t="inlineStr">
        <is>
          <t>Promedio de permanencia</t>
        </is>
      </c>
      <c r="D13" s="4" t="inlineStr">
        <is>
          <t>Dias estada total / total egresos</t>
        </is>
      </c>
    </row>
    <row r="14">
      <c r="A14" s="2" t="inlineStr">
        <is>
          <t>Balance del mes</t>
        </is>
      </c>
      <c r="B14" s="4" t="inlineStr">
        <is>
          <t>Control</t>
        </is>
      </c>
      <c r="C14" s="4" t="inlineStr">
        <is>
          <t>Chequea consistencia del mes</t>
        </is>
      </c>
      <c r="D14" s="4" t="inlineStr">
        <is>
          <t>Censo inicial + ingresos - egresos - censo final</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4" customWidth="1" min="2" max="2"/>
    <col width="40" customWidth="1" min="3" max="3"/>
    <col width="18" customWidth="1" min="4" max="4"/>
    <col width="12" customWidth="1" min="5" max="5"/>
    <col width="38" customWidth="1" min="6" max="6"/>
  </cols>
  <sheetData>
    <row r="1">
      <c r="A1" s="1" t="inlineStr">
        <is>
          <t>TRACKER DE MIGRACION</t>
        </is>
      </c>
    </row>
    <row r="3">
      <c r="A3" s="5" t="inlineStr">
        <is>
          <t>Mes</t>
        </is>
      </c>
      <c r="B3" s="5" t="inlineStr">
        <is>
          <t>Estado</t>
        </is>
      </c>
      <c r="C3" s="5" t="inlineStr">
        <is>
          <t>Fuente original</t>
        </is>
      </c>
      <c r="D3" s="5" t="inlineStr">
        <is>
          <t>Migrado por</t>
        </is>
      </c>
      <c r="E3" s="5" t="inlineStr">
        <is>
          <t>Validado</t>
        </is>
      </c>
      <c r="F3" s="5" t="inlineStr">
        <is>
          <t>Notas</t>
        </is>
      </c>
    </row>
    <row r="4">
      <c r="A4" s="4" t="inlineStr">
        <is>
          <t>DICIEMBRE 2024</t>
        </is>
      </c>
      <c r="B4" s="3" t="inlineStr">
        <is>
          <t>Validar</t>
        </is>
      </c>
      <c r="C4" s="3" t="inlineStr">
        <is>
          <t>HOMOM 2026 ACT.xlsx :: DICIEMBRE 2024</t>
        </is>
      </c>
      <c r="D4" s="3" t="inlineStr">
        <is>
          <t>Migracion automatica Codex</t>
        </is>
      </c>
      <c r="E4" s="3" t="inlineStr">
        <is>
          <t>Pendiente</t>
        </is>
      </c>
      <c r="F4" s="3" t="inlineStr">
        <is>
          <t>dias=31/31; completos=30; parciales=1; conflictos=2; notas=0</t>
        </is>
      </c>
    </row>
    <row r="5">
      <c r="A5" s="4" t="inlineStr">
        <is>
          <t>ENERO 2025</t>
        </is>
      </c>
      <c r="B5" s="3" t="inlineStr">
        <is>
          <t>Listo</t>
        </is>
      </c>
      <c r="C5" s="3" t="inlineStr">
        <is>
          <t>HOMOM 2026 ACT.xlsx :: ENERO2025</t>
        </is>
      </c>
      <c r="D5" s="3" t="inlineStr">
        <is>
          <t>Migracion automatica Codex</t>
        </is>
      </c>
      <c r="E5" s="3" t="inlineStr">
        <is>
          <t>Pendiente</t>
        </is>
      </c>
      <c r="F5" s="3" t="inlineStr">
        <is>
          <t>dias=31/31; completos=31; parciales=0; conflictos=0; notas=43</t>
        </is>
      </c>
    </row>
    <row r="6">
      <c r="A6" s="4" t="inlineStr">
        <is>
          <t>FEBRERO 2025</t>
        </is>
      </c>
      <c r="B6" s="3" t="inlineStr">
        <is>
          <t>Validar</t>
        </is>
      </c>
      <c r="C6" s="3" t="inlineStr">
        <is>
          <t>HOMOM 2026 ACT.xlsx :: FEBRERO 2025</t>
        </is>
      </c>
      <c r="D6" s="3" t="inlineStr">
        <is>
          <t>Migracion automatica Codex</t>
        </is>
      </c>
      <c r="E6" s="3" t="inlineStr">
        <is>
          <t>Pendiente</t>
        </is>
      </c>
      <c r="F6" s="3" t="inlineStr">
        <is>
          <t>dias=28/28; completos=28; parciales=0; conflictos=1; notas=44</t>
        </is>
      </c>
    </row>
    <row r="7">
      <c r="A7" s="4" t="inlineStr">
        <is>
          <t>MARZO 2025</t>
        </is>
      </c>
      <c r="B7" s="3" t="inlineStr">
        <is>
          <t>Listo</t>
        </is>
      </c>
      <c r="C7" s="3" t="inlineStr">
        <is>
          <t>HOMOM 2026 ACT.xlsx :: MARZO 2025</t>
        </is>
      </c>
      <c r="D7" s="3" t="inlineStr">
        <is>
          <t>Migracion automatica Codex</t>
        </is>
      </c>
      <c r="E7" s="3" t="inlineStr">
        <is>
          <t>Pendiente</t>
        </is>
      </c>
      <c r="F7" s="3" t="inlineStr">
        <is>
          <t>dias=31/31; completos=31; parciales=0; conflictos=0; notas=49</t>
        </is>
      </c>
    </row>
    <row r="8">
      <c r="A8" s="4" t="inlineStr">
        <is>
          <t>ABRIL 2025</t>
        </is>
      </c>
      <c r="B8" s="3" t="inlineStr">
        <is>
          <t>Validar</t>
        </is>
      </c>
      <c r="C8" s="3" t="inlineStr">
        <is>
          <t>HOMOM 2026 ACT.xlsx :: ABRIL 2025</t>
        </is>
      </c>
      <c r="D8" s="3" t="inlineStr">
        <is>
          <t>Migracion automatica Codex</t>
        </is>
      </c>
      <c r="E8" s="3" t="inlineStr">
        <is>
          <t>Pendiente</t>
        </is>
      </c>
      <c r="F8" s="3" t="inlineStr">
        <is>
          <t>dias=30/30; completos=30; parciales=0; conflictos=2; notas=44</t>
        </is>
      </c>
    </row>
    <row r="9">
      <c r="A9" s="4" t="inlineStr">
        <is>
          <t>MAYO 2025</t>
        </is>
      </c>
      <c r="B9" s="3" t="inlineStr">
        <is>
          <t>Validar</t>
        </is>
      </c>
      <c r="C9" s="3" t="inlineStr">
        <is>
          <t>HOMOM 2026 ACT.xlsx :: MAYO 2025</t>
        </is>
      </c>
      <c r="D9" s="3" t="inlineStr">
        <is>
          <t>Migracion automatica Codex</t>
        </is>
      </c>
      <c r="E9" s="3" t="inlineStr">
        <is>
          <t>Pendiente</t>
        </is>
      </c>
      <c r="F9" s="3" t="inlineStr">
        <is>
          <t>dias=31/31; completos=29; parciales=2; conflictos=5; notas=1</t>
        </is>
      </c>
    </row>
    <row r="10">
      <c r="A10" s="4" t="inlineStr">
        <is>
          <t>JUNIO 2025</t>
        </is>
      </c>
      <c r="B10" s="3" t="inlineStr">
        <is>
          <t>Listo</t>
        </is>
      </c>
      <c r="C10" s="3" t="inlineStr">
        <is>
          <t>HOMOM 2026 ACT.xlsx :: JUNIO 2025</t>
        </is>
      </c>
      <c r="D10" s="3" t="inlineStr">
        <is>
          <t>Migracion automatica Codex</t>
        </is>
      </c>
      <c r="E10" s="3" t="inlineStr">
        <is>
          <t>Pendiente</t>
        </is>
      </c>
      <c r="F10" s="3" t="inlineStr">
        <is>
          <t>dias=30/30; completos=30; parciales=0; conflictos=0; notas=41</t>
        </is>
      </c>
    </row>
    <row r="11">
      <c r="A11" s="4" t="inlineStr">
        <is>
          <t>JULIO 2025</t>
        </is>
      </c>
      <c r="B11" s="3" t="inlineStr">
        <is>
          <t>Validar</t>
        </is>
      </c>
      <c r="C11" s="3" t="inlineStr">
        <is>
          <t>HOMOM 2026 ACT.xlsx :: JULIO 2025</t>
        </is>
      </c>
      <c r="D11" s="3" t="inlineStr">
        <is>
          <t>Migracion automatica Codex</t>
        </is>
      </c>
      <c r="E11" s="3" t="inlineStr">
        <is>
          <t>Pendiente</t>
        </is>
      </c>
      <c r="F11" s="3" t="inlineStr">
        <is>
          <t>dias=31/31; completos=30; parciales=1; conflictos=3; notas=45</t>
        </is>
      </c>
    </row>
    <row r="12">
      <c r="A12" s="4" t="inlineStr">
        <is>
          <t>AGOSTO 2025</t>
        </is>
      </c>
      <c r="B12" s="3" t="inlineStr">
        <is>
          <t>Validar</t>
        </is>
      </c>
      <c r="C12" s="3" t="inlineStr">
        <is>
          <t>HOMOM 2026 ACT.xlsx :: AGOSTO 2025</t>
        </is>
      </c>
      <c r="D12" s="3" t="inlineStr">
        <is>
          <t>Migracion automatica Codex</t>
        </is>
      </c>
      <c r="E12" s="3" t="inlineStr">
        <is>
          <t>Pendiente</t>
        </is>
      </c>
      <c r="F12" s="3" t="inlineStr">
        <is>
          <t>dias=31/31; completos=30; parciales=1; conflictos=2; notas=47</t>
        </is>
      </c>
    </row>
    <row r="13">
      <c r="A13" s="4" t="inlineStr">
        <is>
          <t>SEPTIEMBRE 2025</t>
        </is>
      </c>
      <c r="B13" s="3" t="inlineStr">
        <is>
          <t>Validar</t>
        </is>
      </c>
      <c r="C13" s="3" t="inlineStr">
        <is>
          <t>HOMOM 2026 ACT.xlsx :: SEPTIEMBRE 2025</t>
        </is>
      </c>
      <c r="D13" s="3" t="inlineStr">
        <is>
          <t>Migracion automatica Codex</t>
        </is>
      </c>
      <c r="E13" s="3" t="inlineStr">
        <is>
          <t>Pendiente</t>
        </is>
      </c>
      <c r="F13" s="3" t="inlineStr">
        <is>
          <t>dias=30/30; completos=28; parciales=2; conflictos=3; notas=45</t>
        </is>
      </c>
    </row>
    <row r="14">
      <c r="A14" s="4" t="inlineStr">
        <is>
          <t>OCTUBRE 2025</t>
        </is>
      </c>
      <c r="B14" s="3" t="inlineStr">
        <is>
          <t>Validar</t>
        </is>
      </c>
      <c r="C14" s="3" t="inlineStr">
        <is>
          <t>HOMOM 2026 ACT.xlsx :: OCTUBRE 2025</t>
        </is>
      </c>
      <c r="D14" s="3" t="inlineStr">
        <is>
          <t>Migracion automatica Codex</t>
        </is>
      </c>
      <c r="E14" s="3" t="inlineStr">
        <is>
          <t>Pendiente</t>
        </is>
      </c>
      <c r="F14" s="3" t="inlineStr">
        <is>
          <t>dias=31/31; completos=30; parciales=1; conflictos=4; notas=45</t>
        </is>
      </c>
    </row>
    <row r="15">
      <c r="A15" s="4" t="inlineStr">
        <is>
          <t>NOVIEMBRE 2025</t>
        </is>
      </c>
      <c r="B15" s="3" t="inlineStr">
        <is>
          <t>Validar</t>
        </is>
      </c>
      <c r="C15" s="3" t="inlineStr">
        <is>
          <t>HOMOM 2026 ACT.xlsx :: NOVIEMBRE 2025</t>
        </is>
      </c>
      <c r="D15" s="3" t="inlineStr">
        <is>
          <t>Migracion automatica Codex</t>
        </is>
      </c>
      <c r="E15" s="3" t="inlineStr">
        <is>
          <t>Pendiente</t>
        </is>
      </c>
      <c r="F15" s="3" t="inlineStr">
        <is>
          <t>dias=30/30; completos=28; parciales=2; conflictos=5; notas=43</t>
        </is>
      </c>
    </row>
    <row r="16">
      <c r="A16" s="4" t="inlineStr">
        <is>
          <t>DICIEMBRE 2025</t>
        </is>
      </c>
      <c r="B16" s="3" t="inlineStr">
        <is>
          <t>Validar</t>
        </is>
      </c>
      <c r="C16" s="3" t="inlineStr">
        <is>
          <t>HOMOM 2026 ACT.xlsx :: DICIEMBRE 2025</t>
        </is>
      </c>
      <c r="D16" s="3" t="inlineStr">
        <is>
          <t>Migracion automatica Codex</t>
        </is>
      </c>
      <c r="E16" s="3" t="inlineStr">
        <is>
          <t>Pendiente</t>
        </is>
      </c>
      <c r="F16" s="3" t="inlineStr">
        <is>
          <t>dias=31/31; completos=30; parciales=1; conflictos=4; notas=44</t>
        </is>
      </c>
    </row>
    <row r="17">
      <c r="A17" s="4" t="inlineStr">
        <is>
          <t>ENERO 2026</t>
        </is>
      </c>
      <c r="B17" s="3" t="inlineStr">
        <is>
          <t>Validar</t>
        </is>
      </c>
      <c r="C17" s="3" t="inlineStr">
        <is>
          <t>HOMOM 2026 ACT.xlsx :: ENERO 2026</t>
        </is>
      </c>
      <c r="D17" s="3" t="inlineStr">
        <is>
          <t>Migracion automatica Codex</t>
        </is>
      </c>
      <c r="E17" s="3" t="inlineStr">
        <is>
          <t>Pendiente</t>
        </is>
      </c>
      <c r="F17" s="3" t="inlineStr">
        <is>
          <t>dias=31/31; completos=29; parciales=2; conflictos=5; notas=46</t>
        </is>
      </c>
    </row>
    <row r="18">
      <c r="A18" s="4" t="inlineStr">
        <is>
          <t>FEBRERO 2026</t>
        </is>
      </c>
      <c r="B18" s="3" t="inlineStr">
        <is>
          <t>Validar</t>
        </is>
      </c>
      <c r="C18" s="3" t="inlineStr">
        <is>
          <t>HOMOM 2026 ACT.xlsx :: FEBRERO 2026</t>
        </is>
      </c>
      <c r="D18" s="3" t="inlineStr">
        <is>
          <t>Migracion automatica Codex</t>
        </is>
      </c>
      <c r="E18" s="3" t="inlineStr">
        <is>
          <t>Pendiente</t>
        </is>
      </c>
      <c r="F18" s="3" t="inlineStr">
        <is>
          <t>dias=28/28; completos=28; parciales=0; conflictos=3; notas=34</t>
        </is>
      </c>
    </row>
  </sheetData>
  <mergeCells count="1">
    <mergeCell ref="A1:F1"/>
  </mergeCells>
  <dataValidations count="1">
    <dataValidation sqref="B4 B5 B6 B7 B8 B9 B10 B11 B12 B13 B14 B15 B16 B17 B18" showDropDown="0" showInputMessage="0" showErrorMessage="0" allowBlank="1" type="list">
      <formula1>"Pendiente,En carga,Validar,Listo"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DICIEMBRE 2024</t>
        </is>
      </c>
    </row>
    <row r="2">
      <c r="A2" s="2" t="inlineStr">
        <is>
          <t>Servicio</t>
        </is>
      </c>
      <c r="B2" s="6">
        <f>01_PARAMETROS!B3</f>
        <v/>
      </c>
      <c r="C2" s="2" t="inlineStr">
        <is>
          <t>Codigo</t>
        </is>
      </c>
      <c r="D2" s="6">
        <f>01_PARAMETROS!B4</f>
        <v/>
      </c>
      <c r="E2" s="2" t="inlineStr">
        <is>
          <t>Mes</t>
        </is>
      </c>
      <c r="F2" s="3" t="inlineStr">
        <is>
          <t>DICIEMBRE</t>
        </is>
      </c>
      <c r="G2" s="2" t="inlineStr">
        <is>
          <t>Ano</t>
        </is>
      </c>
      <c r="H2" s="3" t="n">
        <v>2024</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DATE(2024,12,1)</f>
        <v/>
      </c>
      <c r="B7" s="6" t="n">
        <v>1</v>
      </c>
      <c r="C7" s="3" t="n">
        <v>23</v>
      </c>
      <c r="D7" s="3" t="n">
        <v>0</v>
      </c>
      <c r="E7" s="3" t="n"/>
      <c r="F7" s="3" t="n"/>
      <c r="G7" s="3" t="n"/>
      <c r="H7" s="3" t="n"/>
      <c r="I7" s="3" t="n"/>
      <c r="J7" s="6">
        <f>IF(COUNTA(D7:I7)&gt;0,SUM(D7:I7),IF(K7="", "", K7))</f>
        <v/>
      </c>
      <c r="K7" s="3" t="n"/>
      <c r="L7" s="3" t="n">
        <v>1</v>
      </c>
      <c r="M7" s="4" t="n"/>
      <c r="N7" s="3" t="n"/>
      <c r="O7" s="6">
        <f>IF(COUNTA(L7:N7)&gt;0,SUM(L7:N7),IF(P7="", "", P7))</f>
        <v/>
      </c>
      <c r="P7" s="3" t="n"/>
      <c r="Q7" s="3" t="n"/>
      <c r="R7" s="3" t="n">
        <v>16</v>
      </c>
      <c r="S7" s="6">
        <f>IF(OR(C7="",J7="",O7=""),"",C7+J7-O7)</f>
        <v/>
      </c>
      <c r="T7" s="3" t="n">
        <v>8</v>
      </c>
      <c r="U7" s="3" t="n"/>
      <c r="V7" s="3" t="n"/>
      <c r="W7" s="6">
        <f>IF(Z7=1,"FALTAN DATOS",IF(S7&lt;0,"OCUPACION NEGATIVA",IF(X7=1,"SOBREOCUPACION",IF(Y7&lt;&gt;0,"BALANCE RARO","OK"))))</f>
        <v/>
      </c>
      <c r="X7" s="6">
        <f>IF(AND(R7&lt;&gt;"",S7&gt;R7),1,0)</f>
        <v/>
      </c>
      <c r="Y7" s="6">
        <f>IF(OR(C7="",J7="",O7="",S7=""),"",C7+J7-O7-S7)</f>
        <v/>
      </c>
      <c r="Z7" s="6">
        <f>IF(OR(R7="",A7="",B7="",C7="",J7="",O7=""),1,0)</f>
        <v/>
      </c>
    </row>
    <row r="8">
      <c r="A8" s="6">
        <f>DATE(2024,12,2)</f>
        <v/>
      </c>
      <c r="B8" s="6" t="n">
        <v>2</v>
      </c>
      <c r="C8" s="6">
        <f>Q7</f>
        <v/>
      </c>
      <c r="D8" s="3" t="n">
        <v>4</v>
      </c>
      <c r="E8" s="3" t="n"/>
      <c r="F8" s="3" t="n"/>
      <c r="G8" s="3" t="n"/>
      <c r="H8" s="3" t="n"/>
      <c r="I8" s="3" t="n"/>
      <c r="J8" s="6">
        <f>IF(COUNTA(D8:I8)&gt;0,SUM(D8:I8),IF(K8="", "", K8))</f>
        <v/>
      </c>
      <c r="K8" s="3" t="n"/>
      <c r="L8" s="3" t="n">
        <v>1</v>
      </c>
      <c r="M8" s="4" t="n"/>
      <c r="N8" s="3" t="n"/>
      <c r="O8" s="6">
        <f>IF(COUNTA(L8:N8)&gt;0,SUM(L8:N8),IF(P8="", "", P8))</f>
        <v/>
      </c>
      <c r="P8" s="3" t="n"/>
      <c r="Q8" s="3" t="n"/>
      <c r="R8" s="3" t="n">
        <v>16</v>
      </c>
      <c r="S8" s="6">
        <f>IF(OR(C8="",J8="",O8=""),"",C8+J8-O8)</f>
        <v/>
      </c>
      <c r="T8" s="3" t="n">
        <v>24</v>
      </c>
      <c r="U8" s="3" t="n"/>
      <c r="V8" s="3" t="n"/>
      <c r="W8" s="6">
        <f>IF(Z8=1,"FALTAN DATOS",IF(S8&lt;0,"OCUPACION NEGATIVA",IF(X8=1,"SOBREOCUPACION",IF(Y8&lt;&gt;0,"BALANCE RARO","OK"))))</f>
        <v/>
      </c>
      <c r="X8" s="6">
        <f>IF(AND(R8&lt;&gt;"",S8&gt;R8),1,0)</f>
        <v/>
      </c>
      <c r="Y8" s="6">
        <f>IF(OR(C8="",J8="",O8="",S8=""),"",C8+J8-O8-S8)</f>
        <v/>
      </c>
      <c r="Z8" s="6">
        <f>IF(OR(R8="",A8="",B8="",C8="",J8="",O8=""),1,0)</f>
        <v/>
      </c>
    </row>
    <row r="9">
      <c r="A9" s="6">
        <f>DATE(2024,12,3)</f>
        <v/>
      </c>
      <c r="B9" s="6" t="n">
        <v>3</v>
      </c>
      <c r="C9" s="6">
        <f>Q8</f>
        <v/>
      </c>
      <c r="D9" s="3" t="n">
        <v>0</v>
      </c>
      <c r="E9" s="3" t="n"/>
      <c r="F9" s="3" t="n"/>
      <c r="G9" s="3" t="n"/>
      <c r="H9" s="3" t="n"/>
      <c r="I9" s="3" t="n"/>
      <c r="J9" s="6">
        <f>IF(COUNTA(D9:I9)&gt;0,SUM(D9:I9),IF(K9="", "", K9))</f>
        <v/>
      </c>
      <c r="K9" s="3" t="n"/>
      <c r="L9" s="3" t="n">
        <v>1</v>
      </c>
      <c r="M9" s="4" t="n"/>
      <c r="N9" s="3" t="n"/>
      <c r="O9" s="6">
        <f>IF(COUNTA(L9:N9)&gt;0,SUM(L9:N9),IF(P9="", "", P9))</f>
        <v/>
      </c>
      <c r="P9" s="3" t="n"/>
      <c r="Q9" s="3" t="n"/>
      <c r="R9" s="3" t="n">
        <v>16</v>
      </c>
      <c r="S9" s="6">
        <f>IF(OR(C9="",J9="",O9=""),"",C9+J9-O9)</f>
        <v/>
      </c>
      <c r="T9" s="3" t="n">
        <v>4</v>
      </c>
      <c r="U9" s="3" t="n"/>
      <c r="V9" s="3" t="n"/>
      <c r="W9" s="6">
        <f>IF(Z9=1,"FALTAN DATOS",IF(S9&lt;0,"OCUPACION NEGATIVA",IF(X9=1,"SOBREOCUPACION",IF(Y9&lt;&gt;0,"BALANCE RARO","OK"))))</f>
        <v/>
      </c>
      <c r="X9" s="6">
        <f>IF(AND(R9&lt;&gt;"",S9&gt;R9),1,0)</f>
        <v/>
      </c>
      <c r="Y9" s="6">
        <f>IF(OR(C9="",J9="",O9="",S9=""),"",C9+J9-O9-S9)</f>
        <v/>
      </c>
      <c r="Z9" s="6">
        <f>IF(OR(R9="",A9="",B9="",C9="",J9="",O9=""),1,0)</f>
        <v/>
      </c>
    </row>
    <row r="10">
      <c r="A10" s="6">
        <f>DATE(2024,12,4)</f>
        <v/>
      </c>
      <c r="B10" s="6" t="n">
        <v>4</v>
      </c>
      <c r="C10" s="6">
        <f>Q9</f>
        <v/>
      </c>
      <c r="D10" s="3" t="n">
        <v>2</v>
      </c>
      <c r="E10" s="3" t="n"/>
      <c r="F10" s="3" t="n"/>
      <c r="G10" s="3" t="n"/>
      <c r="H10" s="3" t="n"/>
      <c r="I10" s="3" t="n"/>
      <c r="J10" s="6">
        <f>IF(COUNTA(D10:I10)&gt;0,SUM(D10:I10),IF(K10="", "", K10))</f>
        <v/>
      </c>
      <c r="K10" s="3" t="n"/>
      <c r="L10" s="3" t="n">
        <v>3</v>
      </c>
      <c r="M10" s="4" t="n"/>
      <c r="N10" s="3" t="n"/>
      <c r="O10" s="6">
        <f>IF(COUNTA(L10:N10)&gt;0,SUM(L10:N10),IF(P10="", "", P10))</f>
        <v/>
      </c>
      <c r="P10" s="3" t="n"/>
      <c r="Q10" s="3" t="n"/>
      <c r="R10" s="3" t="n">
        <v>16</v>
      </c>
      <c r="S10" s="6">
        <f>IF(OR(C10="",J10="",O10=""),"",C10+J10-O10)</f>
        <v/>
      </c>
      <c r="T10" s="3" t="n">
        <v>61</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DATE(2024,12,5)</f>
        <v/>
      </c>
      <c r="B11" s="6" t="n">
        <v>5</v>
      </c>
      <c r="C11" s="6">
        <f>Q10</f>
        <v/>
      </c>
      <c r="D11" s="3" t="n">
        <v>2</v>
      </c>
      <c r="E11" s="3" t="n"/>
      <c r="F11" s="3" t="n"/>
      <c r="G11" s="3" t="n"/>
      <c r="H11" s="3" t="n"/>
      <c r="I11" s="3" t="n"/>
      <c r="J11" s="6">
        <f>IF(COUNTA(D11:I11)&gt;0,SUM(D11:I11),IF(K11="", "", K11))</f>
        <v/>
      </c>
      <c r="K11" s="3" t="n"/>
      <c r="L11" s="3" t="n">
        <v>2</v>
      </c>
      <c r="M11" s="4" t="n"/>
      <c r="N11" s="3" t="n"/>
      <c r="O11" s="6">
        <f>IF(COUNTA(L11:N11)&gt;0,SUM(L11:N11),IF(P11="", "", P11))</f>
        <v/>
      </c>
      <c r="P11" s="3" t="n"/>
      <c r="Q11" s="3" t="n"/>
      <c r="R11" s="3" t="n">
        <v>16</v>
      </c>
      <c r="S11" s="6">
        <f>IF(OR(C11="",J11="",O11=""),"",C11+J11-O11)</f>
        <v/>
      </c>
      <c r="T11" s="3" t="n">
        <v>13</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DATE(2024,12,6)</f>
        <v/>
      </c>
      <c r="B12" s="6" t="n">
        <v>6</v>
      </c>
      <c r="C12" s="6">
        <f>Q11</f>
        <v/>
      </c>
      <c r="D12" s="3" t="n">
        <v>2</v>
      </c>
      <c r="E12" s="3" t="n"/>
      <c r="F12" s="3" t="n"/>
      <c r="G12" s="3" t="n"/>
      <c r="H12" s="3" t="n"/>
      <c r="I12" s="3" t="n"/>
      <c r="J12" s="6">
        <f>IF(COUNTA(D12:I12)&gt;0,SUM(D12:I12),IF(K12="", "", K12))</f>
        <v/>
      </c>
      <c r="K12" s="3" t="n"/>
      <c r="L12" s="3" t="n">
        <v>3</v>
      </c>
      <c r="M12" s="4" t="n"/>
      <c r="N12" s="3" t="n"/>
      <c r="O12" s="6">
        <f>IF(COUNTA(L12:N12)&gt;0,SUM(L12:N12),IF(P12="", "", P12))</f>
        <v/>
      </c>
      <c r="P12" s="3" t="n"/>
      <c r="Q12" s="3" t="n"/>
      <c r="R12" s="3" t="n">
        <v>16</v>
      </c>
      <c r="S12" s="6">
        <f>IF(OR(C12="",J12="",O12=""),"",C12+J12-O12)</f>
        <v/>
      </c>
      <c r="T12" s="3" t="n">
        <v>20</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DATE(2024,12,7)</f>
        <v/>
      </c>
      <c r="B13" s="6" t="n">
        <v>7</v>
      </c>
      <c r="C13" s="6">
        <f>Q12</f>
        <v/>
      </c>
      <c r="D13" s="3" t="n">
        <v>2</v>
      </c>
      <c r="E13" s="3" t="n"/>
      <c r="F13" s="3" t="n"/>
      <c r="G13" s="3" t="n"/>
      <c r="H13" s="3" t="n"/>
      <c r="I13" s="3" t="n"/>
      <c r="J13" s="6">
        <f>IF(COUNTA(D13:I13)&gt;0,SUM(D13:I13),IF(K13="", "", K13))</f>
        <v/>
      </c>
      <c r="K13" s="3" t="n"/>
      <c r="L13" s="3" t="n">
        <v>1</v>
      </c>
      <c r="M13" s="4" t="n"/>
      <c r="N13" s="3" t="n"/>
      <c r="O13" s="6">
        <f>IF(COUNTA(L13:N13)&gt;0,SUM(L13:N13),IF(P13="", "", P13))</f>
        <v/>
      </c>
      <c r="P13" s="3" t="n"/>
      <c r="Q13" s="3" t="n"/>
      <c r="R13" s="3" t="n">
        <v>16</v>
      </c>
      <c r="S13" s="6">
        <f>IF(OR(C13="",J13="",O13=""),"",C13+J13-O13)</f>
        <v/>
      </c>
      <c r="T13" s="3" t="n">
        <v>11</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DATE(2024,12,8)</f>
        <v/>
      </c>
      <c r="B14" s="6" t="n">
        <v>8</v>
      </c>
      <c r="C14" s="6">
        <f>Q13</f>
        <v/>
      </c>
      <c r="D14" s="3" t="n">
        <v>0</v>
      </c>
      <c r="E14" s="3" t="n"/>
      <c r="F14" s="3" t="n"/>
      <c r="G14" s="3" t="n"/>
      <c r="H14" s="3" t="n"/>
      <c r="I14" s="3" t="n"/>
      <c r="J14" s="6">
        <f>IF(COUNTA(D14:I14)&gt;0,SUM(D14:I14),IF(K14="", "", K14))</f>
        <v/>
      </c>
      <c r="K14" s="3" t="n"/>
      <c r="L14" s="3" t="n">
        <v>2</v>
      </c>
      <c r="M14" s="4" t="n"/>
      <c r="N14" s="3" t="n"/>
      <c r="O14" s="6">
        <f>IF(COUNTA(L14:N14)&gt;0,SUM(L14:N14),IF(P14="", "", P14))</f>
        <v/>
      </c>
      <c r="P14" s="3" t="n"/>
      <c r="Q14" s="3" t="n"/>
      <c r="R14" s="3" t="n">
        <v>16</v>
      </c>
      <c r="S14" s="6">
        <f>IF(OR(C14="",J14="",O14=""),"",C14+J14-O14)</f>
        <v/>
      </c>
      <c r="T14" s="3" t="n">
        <v>12</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DATE(2024,12,9)</f>
        <v/>
      </c>
      <c r="B15" s="6" t="n">
        <v>9</v>
      </c>
      <c r="C15" s="6">
        <f>Q14</f>
        <v/>
      </c>
      <c r="D15" s="3" t="n">
        <v>2</v>
      </c>
      <c r="E15" s="3" t="n"/>
      <c r="F15" s="3" t="n"/>
      <c r="G15" s="3" t="n"/>
      <c r="H15" s="3" t="n"/>
      <c r="I15" s="3" t="n"/>
      <c r="J15" s="6">
        <f>IF(COUNTA(D15:I15)&gt;0,SUM(D15:I15),IF(K15="", "", K15))</f>
        <v/>
      </c>
      <c r="K15" s="3" t="n"/>
      <c r="L15" s="3" t="n">
        <v>1</v>
      </c>
      <c r="M15" s="4" t="n"/>
      <c r="N15" s="3" t="n"/>
      <c r="O15" s="6">
        <f>IF(COUNTA(L15:N15)&gt;0,SUM(L15:N15),IF(P15="", "", P15))</f>
        <v/>
      </c>
      <c r="P15" s="3" t="n"/>
      <c r="Q15" s="3" t="n"/>
      <c r="R15" s="3" t="n">
        <v>16</v>
      </c>
      <c r="S15" s="6">
        <f>IF(OR(C15="",J15="",O15=""),"",C15+J15-O15)</f>
        <v/>
      </c>
      <c r="T15" s="3" t="n">
        <v>6</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DATE(2024,12,10)</f>
        <v/>
      </c>
      <c r="B16" s="6" t="n">
        <v>10</v>
      </c>
      <c r="C16" s="6">
        <f>Q15</f>
        <v/>
      </c>
      <c r="D16" s="3" t="n">
        <v>3</v>
      </c>
      <c r="E16" s="3" t="n"/>
      <c r="F16" s="3" t="n"/>
      <c r="G16" s="3" t="n"/>
      <c r="H16" s="3" t="n"/>
      <c r="I16" s="3" t="n"/>
      <c r="J16" s="6">
        <f>IF(COUNTA(D16:I16)&gt;0,SUM(D16:I16),IF(K16="", "", K16))</f>
        <v/>
      </c>
      <c r="K16" s="3" t="n"/>
      <c r="L16" s="3" t="n">
        <v>1</v>
      </c>
      <c r="M16" s="4" t="n"/>
      <c r="N16" s="3" t="n"/>
      <c r="O16" s="6">
        <f>IF(COUNTA(L16:N16)&gt;0,SUM(L16:N16),IF(P16="", "", P16))</f>
        <v/>
      </c>
      <c r="P16" s="3" t="n"/>
      <c r="Q16" s="3" t="n"/>
      <c r="R16" s="3" t="n">
        <v>16</v>
      </c>
      <c r="S16" s="6">
        <f>IF(OR(C16="",J16="",O16=""),"",C16+J16-O16)</f>
        <v/>
      </c>
      <c r="T16" s="3" t="n">
        <v>6</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DATE(2024,12,11)</f>
        <v/>
      </c>
      <c r="B17" s="6" t="n">
        <v>11</v>
      </c>
      <c r="C17" s="6">
        <f>Q16</f>
        <v/>
      </c>
      <c r="D17" s="3" t="n">
        <v>3</v>
      </c>
      <c r="E17" s="3" t="n"/>
      <c r="F17" s="3" t="n"/>
      <c r="G17" s="3" t="n"/>
      <c r="H17" s="3" t="n"/>
      <c r="I17" s="3" t="n"/>
      <c r="J17" s="6">
        <f>IF(COUNTA(D17:I17)&gt;0,SUM(D17:I17),IF(K17="", "", K17))</f>
        <v/>
      </c>
      <c r="K17" s="3" t="n"/>
      <c r="L17" s="3" t="n">
        <v>4</v>
      </c>
      <c r="M17" s="4" t="n"/>
      <c r="N17" s="3" t="n"/>
      <c r="O17" s="6">
        <f>IF(COUNTA(L17:N17)&gt;0,SUM(L17:N17),IF(P17="", "", P17))</f>
        <v/>
      </c>
      <c r="P17" s="3" t="n"/>
      <c r="Q17" s="3" t="n"/>
      <c r="R17" s="3" t="n">
        <v>16</v>
      </c>
      <c r="S17" s="6">
        <f>IF(OR(C17="",J17="",O17=""),"",C17+J17-O17)</f>
        <v/>
      </c>
      <c r="T17" s="3" t="n">
        <v>32</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DATE(2024,12,12)</f>
        <v/>
      </c>
      <c r="B18" s="6" t="n">
        <v>12</v>
      </c>
      <c r="C18" s="6">
        <f>Q17</f>
        <v/>
      </c>
      <c r="D18" s="3" t="n">
        <v>0</v>
      </c>
      <c r="E18" s="3" t="n"/>
      <c r="F18" s="3" t="n"/>
      <c r="G18" s="3" t="n"/>
      <c r="H18" s="3" t="n"/>
      <c r="I18" s="3" t="n"/>
      <c r="J18" s="6">
        <f>IF(COUNTA(D18:I18)&gt;0,SUM(D18:I18),IF(K18="", "", K18))</f>
        <v/>
      </c>
      <c r="K18" s="3" t="n"/>
      <c r="L18" s="3" t="n">
        <v>0</v>
      </c>
      <c r="M18" s="4" t="n"/>
      <c r="N18" s="3" t="n"/>
      <c r="O18" s="6">
        <f>IF(COUNTA(L18:N18)&gt;0,SUM(L18:N18),IF(P18="", "", P18))</f>
        <v/>
      </c>
      <c r="P18" s="3" t="n"/>
      <c r="Q18" s="3" t="n"/>
      <c r="R18" s="3" t="n">
        <v>16</v>
      </c>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DATE(2024,12,13)</f>
        <v/>
      </c>
      <c r="B19" s="6" t="n">
        <v>13</v>
      </c>
      <c r="C19" s="6">
        <f>Q18</f>
        <v/>
      </c>
      <c r="D19" s="3" t="n">
        <v>1</v>
      </c>
      <c r="E19" s="3" t="n"/>
      <c r="F19" s="3" t="n"/>
      <c r="G19" s="3" t="n"/>
      <c r="H19" s="3" t="n"/>
      <c r="I19" s="3" t="n"/>
      <c r="J19" s="6">
        <f>IF(COUNTA(D19:I19)&gt;0,SUM(D19:I19),IF(K19="", "", K19))</f>
        <v/>
      </c>
      <c r="K19" s="3" t="n"/>
      <c r="L19" s="3" t="n">
        <v>1</v>
      </c>
      <c r="M19" s="4" t="n"/>
      <c r="N19" s="3" t="n"/>
      <c r="O19" s="6">
        <f>IF(COUNTA(L19:N19)&gt;0,SUM(L19:N19),IF(P19="", "", P19))</f>
        <v/>
      </c>
      <c r="P19" s="3" t="n"/>
      <c r="Q19" s="3" t="n"/>
      <c r="R19" s="3" t="n">
        <v>16</v>
      </c>
      <c r="S19" s="6">
        <f>IF(OR(C19="",J19="",O19=""),"",C19+J19-O19)</f>
        <v/>
      </c>
      <c r="T19" s="3" t="n">
        <v>7</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DATE(2024,12,14)</f>
        <v/>
      </c>
      <c r="B20" s="6" t="n">
        <v>14</v>
      </c>
      <c r="C20" s="6">
        <f>Q19</f>
        <v/>
      </c>
      <c r="D20" s="3" t="n">
        <v>0</v>
      </c>
      <c r="E20" s="3" t="n"/>
      <c r="F20" s="3" t="n"/>
      <c r="G20" s="3" t="n"/>
      <c r="H20" s="3" t="n"/>
      <c r="I20" s="3" t="n"/>
      <c r="J20" s="6">
        <f>IF(COUNTA(D20:I20)&gt;0,SUM(D20:I20),IF(K20="", "", K20))</f>
        <v/>
      </c>
      <c r="K20" s="3" t="n"/>
      <c r="L20" s="3" t="n">
        <v>1</v>
      </c>
      <c r="M20" s="4" t="n"/>
      <c r="N20" s="3" t="n"/>
      <c r="O20" s="6">
        <f>IF(COUNTA(L20:N20)&gt;0,SUM(L20:N20),IF(P20="", "", P20))</f>
        <v/>
      </c>
      <c r="P20" s="3" t="n"/>
      <c r="Q20" s="3" t="n"/>
      <c r="R20" s="3" t="n">
        <v>16</v>
      </c>
      <c r="S20" s="6">
        <f>IF(OR(C20="",J20="",O20=""),"",C20+J20-O20)</f>
        <v/>
      </c>
      <c r="T20" s="3" t="n">
        <v>3</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DATE(2024,12,15)</f>
        <v/>
      </c>
      <c r="B21" s="6" t="n">
        <v>15</v>
      </c>
      <c r="C21" s="6">
        <f>Q20</f>
        <v/>
      </c>
      <c r="D21" s="3" t="n">
        <v>2</v>
      </c>
      <c r="E21" s="3" t="n"/>
      <c r="F21" s="3" t="n"/>
      <c r="G21" s="3" t="n"/>
      <c r="H21" s="3" t="n"/>
      <c r="I21" s="3" t="n"/>
      <c r="J21" s="6">
        <f>IF(COUNTA(D21:I21)&gt;0,SUM(D21:I21),IF(K21="", "", K21))</f>
        <v/>
      </c>
      <c r="K21" s="3" t="n"/>
      <c r="L21" s="3" t="n">
        <v>3</v>
      </c>
      <c r="M21" s="4" t="n"/>
      <c r="N21" s="3" t="n"/>
      <c r="O21" s="6">
        <f>IF(COUNTA(L21:N21)&gt;0,SUM(L21:N21),IF(P21="", "", P21))</f>
        <v/>
      </c>
      <c r="P21" s="3" t="n"/>
      <c r="Q21" s="3" t="n"/>
      <c r="R21" s="3" t="n">
        <v>16</v>
      </c>
      <c r="S21" s="6">
        <f>IF(OR(C21="",J21="",O21=""),"",C21+J21-O21)</f>
        <v/>
      </c>
      <c r="T21" s="3" t="n">
        <v>19</v>
      </c>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DATE(2024,12,16)</f>
        <v/>
      </c>
      <c r="B22" s="6" t="n">
        <v>16</v>
      </c>
      <c r="C22" s="6">
        <f>Q21</f>
        <v/>
      </c>
      <c r="D22" s="3" t="n">
        <v>5</v>
      </c>
      <c r="E22" s="3" t="n"/>
      <c r="F22" s="3" t="n"/>
      <c r="G22" s="3" t="n"/>
      <c r="H22" s="3" t="n"/>
      <c r="I22" s="3" t="n"/>
      <c r="J22" s="6">
        <f>IF(COUNTA(D22:I22)&gt;0,SUM(D22:I22),IF(K22="", "", K22))</f>
        <v/>
      </c>
      <c r="K22" s="3" t="n"/>
      <c r="L22" s="3" t="n">
        <v>1</v>
      </c>
      <c r="M22" s="4" t="n"/>
      <c r="N22" s="3" t="n"/>
      <c r="O22" s="6">
        <f>IF(COUNTA(L22:N22)&gt;0,SUM(L22:N22),IF(P22="", "", P22))</f>
        <v/>
      </c>
      <c r="P22" s="3" t="n"/>
      <c r="Q22" s="3" t="n"/>
      <c r="R22" s="3" t="n">
        <v>16</v>
      </c>
      <c r="S22" s="6">
        <f>IF(OR(C22="",J22="",O22=""),"",C22+J22-O22)</f>
        <v/>
      </c>
      <c r="T22" s="3" t="n">
        <v>9</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DATE(2024,12,17)</f>
        <v/>
      </c>
      <c r="B23" s="6" t="n">
        <v>17</v>
      </c>
      <c r="C23" s="6">
        <f>Q22</f>
        <v/>
      </c>
      <c r="D23" s="3" t="n">
        <v>2</v>
      </c>
      <c r="E23" s="3" t="n"/>
      <c r="F23" s="3" t="n"/>
      <c r="G23" s="3" t="n"/>
      <c r="H23" s="3" t="n"/>
      <c r="I23" s="3" t="n"/>
      <c r="J23" s="6">
        <f>IF(COUNTA(D23:I23)&gt;0,SUM(D23:I23),IF(K23="", "", K23))</f>
        <v/>
      </c>
      <c r="K23" s="3" t="n"/>
      <c r="L23" s="3" t="n">
        <v>3</v>
      </c>
      <c r="M23" s="4" t="n"/>
      <c r="N23" s="3" t="n"/>
      <c r="O23" s="6">
        <f>IF(COUNTA(L23:N23)&gt;0,SUM(L23:N23),IF(P23="", "", P23))</f>
        <v/>
      </c>
      <c r="P23" s="3" t="n"/>
      <c r="Q23" s="3" t="n"/>
      <c r="R23" s="3" t="n">
        <v>16</v>
      </c>
      <c r="S23" s="6">
        <f>IF(OR(C23="",J23="",O23=""),"",C23+J23-O23)</f>
        <v/>
      </c>
      <c r="T23" s="3" t="n">
        <v>30</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DATE(2024,12,18)</f>
        <v/>
      </c>
      <c r="B24" s="6" t="n">
        <v>18</v>
      </c>
      <c r="C24" s="6">
        <f>Q23</f>
        <v/>
      </c>
      <c r="D24" s="3" t="n">
        <v>0</v>
      </c>
      <c r="E24" s="3" t="n"/>
      <c r="F24" s="3" t="n"/>
      <c r="G24" s="3" t="n"/>
      <c r="H24" s="3" t="n"/>
      <c r="I24" s="3" t="n"/>
      <c r="J24" s="6">
        <f>IF(COUNTA(D24:I24)&gt;0,SUM(D24:I24),IF(K24="", "", K24))</f>
        <v/>
      </c>
      <c r="K24" s="3" t="n"/>
      <c r="L24" s="3" t="n">
        <v>1</v>
      </c>
      <c r="M24" s="4" t="n"/>
      <c r="N24" s="3" t="n"/>
      <c r="O24" s="6">
        <f>IF(COUNTA(L24:N24)&gt;0,SUM(L24:N24),IF(P24="", "", P24))</f>
        <v/>
      </c>
      <c r="P24" s="3" t="n"/>
      <c r="Q24" s="3" t="n"/>
      <c r="R24" s="3" t="n">
        <v>16</v>
      </c>
      <c r="S24" s="6">
        <f>IF(OR(C24="",J24="",O24=""),"",C24+J24-O24)</f>
        <v/>
      </c>
      <c r="T24" s="3" t="n">
        <v>7</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DATE(2024,12,19)</f>
        <v/>
      </c>
      <c r="B25" s="6" t="n">
        <v>19</v>
      </c>
      <c r="C25" s="6">
        <f>Q24</f>
        <v/>
      </c>
      <c r="D25" s="3" t="n">
        <v>1</v>
      </c>
      <c r="E25" s="3" t="n"/>
      <c r="F25" s="3" t="n"/>
      <c r="G25" s="3" t="n"/>
      <c r="H25" s="3" t="n"/>
      <c r="I25" s="3" t="n"/>
      <c r="J25" s="6">
        <f>IF(COUNTA(D25:I25)&gt;0,SUM(D25:I25),IF(K25="", "", K25))</f>
        <v/>
      </c>
      <c r="K25" s="3" t="n"/>
      <c r="L25" s="3" t="n">
        <v>0</v>
      </c>
      <c r="M25" s="4" t="n"/>
      <c r="N25" s="3" t="n"/>
      <c r="O25" s="6">
        <f>IF(COUNTA(L25:N25)&gt;0,SUM(L25:N25),IF(P25="", "", P25))</f>
        <v/>
      </c>
      <c r="P25" s="3" t="n"/>
      <c r="Q25" s="3" t="n"/>
      <c r="R25" s="3" t="n">
        <v>16</v>
      </c>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DATE(2024,12,20)</f>
        <v/>
      </c>
      <c r="B26" s="6" t="n">
        <v>20</v>
      </c>
      <c r="C26" s="6">
        <f>Q25</f>
        <v/>
      </c>
      <c r="D26" s="3" t="n">
        <v>0</v>
      </c>
      <c r="E26" s="3" t="n"/>
      <c r="F26" s="3" t="n"/>
      <c r="G26" s="3" t="n"/>
      <c r="H26" s="3" t="n"/>
      <c r="I26" s="3" t="n"/>
      <c r="J26" s="6">
        <f>IF(COUNTA(D26:I26)&gt;0,SUM(D26:I26),IF(K26="", "", K26))</f>
        <v/>
      </c>
      <c r="K26" s="3" t="n"/>
      <c r="L26" s="3" t="n">
        <v>3</v>
      </c>
      <c r="M26" s="4" t="n"/>
      <c r="N26" s="3" t="n"/>
      <c r="O26" s="6">
        <f>IF(COUNTA(L26:N26)&gt;0,SUM(L26:N26),IF(P26="", "", P26))</f>
        <v/>
      </c>
      <c r="P26" s="3" t="n"/>
      <c r="Q26" s="3" t="n"/>
      <c r="R26" s="3" t="n">
        <v>16</v>
      </c>
      <c r="S26" s="6">
        <f>IF(OR(C26="",J26="",O26=""),"",C26+J26-O26)</f>
        <v/>
      </c>
      <c r="T26" s="3" t="n">
        <v>25</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DATE(2024,12,21)</f>
        <v/>
      </c>
      <c r="B27" s="6" t="n">
        <v>21</v>
      </c>
      <c r="C27" s="6">
        <f>Q26</f>
        <v/>
      </c>
      <c r="D27" s="3" t="n">
        <v>1</v>
      </c>
      <c r="E27" s="3" t="n"/>
      <c r="F27" s="3" t="n"/>
      <c r="G27" s="3" t="n"/>
      <c r="H27" s="3" t="n"/>
      <c r="I27" s="3" t="n"/>
      <c r="J27" s="6">
        <f>IF(COUNTA(D27:I27)&gt;0,SUM(D27:I27),IF(K27="", "", K27))</f>
        <v/>
      </c>
      <c r="K27" s="3" t="n"/>
      <c r="L27" s="3" t="n">
        <v>1</v>
      </c>
      <c r="M27" s="4" t="n"/>
      <c r="N27" s="3" t="n"/>
      <c r="O27" s="6">
        <f>IF(COUNTA(L27:N27)&gt;0,SUM(L27:N27),IF(P27="", "", P27))</f>
        <v/>
      </c>
      <c r="P27" s="3" t="n"/>
      <c r="Q27" s="3" t="n"/>
      <c r="R27" s="3" t="n">
        <v>16</v>
      </c>
      <c r="S27" s="6">
        <f>IF(OR(C27="",J27="",O27=""),"",C27+J27-O27)</f>
        <v/>
      </c>
      <c r="T27" s="3" t="n">
        <v>6</v>
      </c>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DATE(2024,12,22)</f>
        <v/>
      </c>
      <c r="B28" s="6" t="n">
        <v>22</v>
      </c>
      <c r="C28" s="6">
        <f>Q27</f>
        <v/>
      </c>
      <c r="D28" s="3" t="n">
        <v>0</v>
      </c>
      <c r="E28" s="3" t="n"/>
      <c r="F28" s="3" t="n"/>
      <c r="G28" s="3" t="n"/>
      <c r="H28" s="3" t="n"/>
      <c r="I28" s="3" t="n"/>
      <c r="J28" s="6">
        <f>IF(COUNTA(D28:I28)&gt;0,SUM(D28:I28),IF(K28="", "", K28))</f>
        <v/>
      </c>
      <c r="K28" s="3" t="n"/>
      <c r="L28" s="3" t="n">
        <v>2</v>
      </c>
      <c r="M28" s="4" t="n"/>
      <c r="N28" s="3" t="n"/>
      <c r="O28" s="6">
        <f>IF(COUNTA(L28:N28)&gt;0,SUM(L28:N28),IF(P28="", "", P28))</f>
        <v/>
      </c>
      <c r="P28" s="3" t="n"/>
      <c r="Q28" s="3" t="n"/>
      <c r="R28" s="3" t="n">
        <v>16</v>
      </c>
      <c r="S28" s="6">
        <f>IF(OR(C28="",J28="",O28=""),"",C28+J28-O28)</f>
        <v/>
      </c>
      <c r="T28" s="3" t="n">
        <v>22</v>
      </c>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DATE(2024,12,23)</f>
        <v/>
      </c>
      <c r="B29" s="6" t="n">
        <v>23</v>
      </c>
      <c r="C29" s="6">
        <f>Q28</f>
        <v/>
      </c>
      <c r="D29" s="3" t="n">
        <v>5</v>
      </c>
      <c r="E29" s="3" t="n"/>
      <c r="F29" s="3" t="n"/>
      <c r="G29" s="3" t="n"/>
      <c r="H29" s="3" t="n"/>
      <c r="I29" s="3" t="n"/>
      <c r="J29" s="6">
        <f>IF(COUNTA(D29:I29)&gt;0,SUM(D29:I29),IF(K29="", "", K29))</f>
        <v/>
      </c>
      <c r="K29" s="3" t="n"/>
      <c r="L29" s="3" t="n">
        <v>0</v>
      </c>
      <c r="M29" s="4" t="n"/>
      <c r="N29" s="3" t="n"/>
      <c r="O29" s="6">
        <f>IF(COUNTA(L29:N29)&gt;0,SUM(L29:N29),IF(P29="", "", P29))</f>
        <v/>
      </c>
      <c r="P29" s="3" t="n"/>
      <c r="Q29" s="3" t="n"/>
      <c r="R29" s="3" t="n">
        <v>16</v>
      </c>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DATE(2024,12,24)</f>
        <v/>
      </c>
      <c r="B30" s="6" t="n">
        <v>24</v>
      </c>
      <c r="C30" s="6">
        <f>Q29</f>
        <v/>
      </c>
      <c r="D30" s="3" t="n">
        <v>0</v>
      </c>
      <c r="E30" s="3" t="n"/>
      <c r="F30" s="3" t="n"/>
      <c r="G30" s="3" t="n"/>
      <c r="H30" s="3" t="n"/>
      <c r="I30" s="3" t="n"/>
      <c r="J30" s="6">
        <f>IF(COUNTA(D30:I30)&gt;0,SUM(D30:I30),IF(K30="", "", K30))</f>
        <v/>
      </c>
      <c r="K30" s="3" t="n"/>
      <c r="L30" s="3" t="n">
        <v>2</v>
      </c>
      <c r="M30" s="4" t="n"/>
      <c r="N30" s="3" t="n"/>
      <c r="O30" s="6">
        <f>IF(COUNTA(L30:N30)&gt;0,SUM(L30:N30),IF(P30="", "", P30))</f>
        <v/>
      </c>
      <c r="P30" s="3" t="n"/>
      <c r="Q30" s="3" t="n"/>
      <c r="R30" s="3" t="n">
        <v>16</v>
      </c>
      <c r="S30" s="6">
        <f>IF(OR(C30="",J30="",O30=""),"",C30+J30-O30)</f>
        <v/>
      </c>
      <c r="T30" s="3" t="n">
        <v>17</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DATE(2024,12,25)</f>
        <v/>
      </c>
      <c r="B31" s="6" t="n">
        <v>25</v>
      </c>
      <c r="C31" s="6">
        <f>Q30</f>
        <v/>
      </c>
      <c r="D31" s="3" t="n">
        <v>0</v>
      </c>
      <c r="E31" s="3" t="n"/>
      <c r="F31" s="3" t="n"/>
      <c r="G31" s="3" t="n"/>
      <c r="H31" s="3" t="n"/>
      <c r="I31" s="3" t="n"/>
      <c r="J31" s="6">
        <f>IF(COUNTA(D31:I31)&gt;0,SUM(D31:I31),IF(K31="", "", K31))</f>
        <v/>
      </c>
      <c r="K31" s="3" t="n"/>
      <c r="L31" s="3" t="n">
        <v>1</v>
      </c>
      <c r="M31" s="4" t="n"/>
      <c r="N31" s="3" t="n"/>
      <c r="O31" s="6">
        <f>IF(COUNTA(L31:N31)&gt;0,SUM(L31:N31),IF(P31="", "", P31))</f>
        <v/>
      </c>
      <c r="P31" s="3" t="n"/>
      <c r="Q31" s="3" t="n"/>
      <c r="R31" s="3" t="n">
        <v>16</v>
      </c>
      <c r="S31" s="6">
        <f>IF(OR(C31="",J31="",O31=""),"",C31+J31-O31)</f>
        <v/>
      </c>
      <c r="T31" s="3" t="n">
        <v>2</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DATE(2024,12,26)</f>
        <v/>
      </c>
      <c r="B32" s="6" t="n">
        <v>26</v>
      </c>
      <c r="C32" s="6">
        <f>Q31</f>
        <v/>
      </c>
      <c r="D32" s="3" t="n">
        <v>2</v>
      </c>
      <c r="E32" s="3" t="n"/>
      <c r="F32" s="3" t="n"/>
      <c r="G32" s="3" t="n"/>
      <c r="H32" s="3" t="n"/>
      <c r="I32" s="3" t="n"/>
      <c r="J32" s="6">
        <f>IF(COUNTA(D32:I32)&gt;0,SUM(D32:I32),IF(K32="", "", K32))</f>
        <v/>
      </c>
      <c r="K32" s="3" t="n"/>
      <c r="L32" s="3" t="n">
        <v>1</v>
      </c>
      <c r="M32" s="4" t="n"/>
      <c r="N32" s="3" t="n"/>
      <c r="O32" s="6">
        <f>IF(COUNTA(L32:N32)&gt;0,SUM(L32:N32),IF(P32="", "", P32))</f>
        <v/>
      </c>
      <c r="P32" s="3" t="n"/>
      <c r="Q32" s="3" t="n"/>
      <c r="R32" s="3" t="n">
        <v>16</v>
      </c>
      <c r="S32" s="6">
        <f>IF(OR(C32="",J32="",O32=""),"",C32+J32-O32)</f>
        <v/>
      </c>
      <c r="T32" s="3" t="n">
        <v>10</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DATE(2024,12,27)</f>
        <v/>
      </c>
      <c r="B33" s="6" t="n">
        <v>27</v>
      </c>
      <c r="C33" s="6">
        <f>Q32</f>
        <v/>
      </c>
      <c r="D33" s="3" t="n">
        <v>1</v>
      </c>
      <c r="E33" s="3" t="n"/>
      <c r="F33" s="3" t="n"/>
      <c r="G33" s="3" t="n"/>
      <c r="H33" s="3" t="n"/>
      <c r="I33" s="3" t="n"/>
      <c r="J33" s="6">
        <f>IF(COUNTA(D33:I33)&gt;0,SUM(D33:I33),IF(K33="", "", K33))</f>
        <v/>
      </c>
      <c r="K33" s="3" t="n"/>
      <c r="L33" s="3" t="n">
        <v>4</v>
      </c>
      <c r="M33" s="4" t="n"/>
      <c r="N33" s="3" t="n"/>
      <c r="O33" s="6">
        <f>IF(COUNTA(L33:N33)&gt;0,SUM(L33:N33),IF(P33="", "", P33))</f>
        <v/>
      </c>
      <c r="P33" s="3" t="n"/>
      <c r="Q33" s="3" t="n"/>
      <c r="R33" s="3" t="n">
        <v>16</v>
      </c>
      <c r="S33" s="6">
        <f>IF(OR(C33="",J33="",O33=""),"",C33+J33-O33)</f>
        <v/>
      </c>
      <c r="T33" s="3" t="n">
        <v>34</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DATE(2024,12,28)</f>
        <v/>
      </c>
      <c r="B34" s="6" t="n">
        <v>28</v>
      </c>
      <c r="C34" s="6">
        <f>Q33</f>
        <v/>
      </c>
      <c r="D34" s="3" t="n">
        <v>0</v>
      </c>
      <c r="E34" s="3" t="n"/>
      <c r="F34" s="3" t="n"/>
      <c r="G34" s="3" t="n"/>
      <c r="H34" s="3" t="n"/>
      <c r="I34" s="3" t="n"/>
      <c r="J34" s="6">
        <f>IF(COUNTA(D34:I34)&gt;0,SUM(D34:I34),IF(K34="", "", K34))</f>
        <v/>
      </c>
      <c r="K34" s="3" t="n"/>
      <c r="L34" s="3" t="n">
        <v>1</v>
      </c>
      <c r="M34" s="4" t="n"/>
      <c r="N34" s="3" t="n"/>
      <c r="O34" s="6">
        <f>IF(COUNTA(L34:N34)&gt;0,SUM(L34:N34),IF(P34="", "", P34))</f>
        <v/>
      </c>
      <c r="P34" s="3" t="n"/>
      <c r="Q34" s="3" t="n"/>
      <c r="R34" s="3" t="n">
        <v>16</v>
      </c>
      <c r="S34" s="6">
        <f>IF(OR(C34="",J34="",O34=""),"",C34+J34-O34)</f>
        <v/>
      </c>
      <c r="T34" s="3" t="n">
        <v>12</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DATE(2024,12,29)</f>
        <v/>
      </c>
      <c r="B35" s="6" t="n">
        <v>29</v>
      </c>
      <c r="C35" s="6">
        <f>Q34</f>
        <v/>
      </c>
      <c r="D35" s="3" t="n">
        <v>3</v>
      </c>
      <c r="E35" s="3" t="n"/>
      <c r="F35" s="3" t="n"/>
      <c r="G35" s="3" t="n"/>
      <c r="H35" s="3" t="n"/>
      <c r="I35" s="3" t="n"/>
      <c r="J35" s="6">
        <f>IF(COUNTA(D35:I35)&gt;0,SUM(D35:I35),IF(K35="", "", K35))</f>
        <v/>
      </c>
      <c r="K35" s="3" t="n"/>
      <c r="L35" s="3" t="n">
        <v>1</v>
      </c>
      <c r="M35" s="4" t="n"/>
      <c r="N35" s="3" t="n"/>
      <c r="O35" s="6">
        <f>IF(COUNTA(L35:N35)&gt;0,SUM(L35:N35),IF(P35="", "", P35))</f>
        <v/>
      </c>
      <c r="P35" s="3" t="n"/>
      <c r="Q35" s="3" t="n"/>
      <c r="R35" s="3" t="n">
        <v>16</v>
      </c>
      <c r="S35" s="6">
        <f>IF(OR(C35="",J35="",O35=""),"",C35+J35-O35)</f>
        <v/>
      </c>
      <c r="T35" s="3" t="n">
        <v>12</v>
      </c>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DATE(2024,12,30)</f>
        <v/>
      </c>
      <c r="B36" s="6" t="n">
        <v>30</v>
      </c>
      <c r="C36" s="6">
        <f>Q35</f>
        <v/>
      </c>
      <c r="D36" s="3" t="n">
        <v>0</v>
      </c>
      <c r="E36" s="3" t="n"/>
      <c r="F36" s="3" t="n"/>
      <c r="G36" s="3" t="n"/>
      <c r="H36" s="3" t="n"/>
      <c r="I36" s="3" t="n"/>
      <c r="J36" s="6">
        <f>IF(COUNTA(D36:I36)&gt;0,SUM(D36:I36),IF(K36="", "", K36))</f>
        <v/>
      </c>
      <c r="K36" s="3" t="n"/>
      <c r="L36" s="3" t="n">
        <v>1</v>
      </c>
      <c r="M36" s="4" t="n"/>
      <c r="N36" s="3" t="n"/>
      <c r="O36" s="6">
        <f>IF(COUNTA(L36:N36)&gt;0,SUM(L36:N36),IF(P36="", "", P36))</f>
        <v/>
      </c>
      <c r="P36" s="3" t="n"/>
      <c r="Q36" s="3" t="n"/>
      <c r="R36" s="3" t="n">
        <v>16</v>
      </c>
      <c r="S36" s="6">
        <f>IF(OR(C36="",J36="",O36=""),"",C36+J36-O36)</f>
        <v/>
      </c>
      <c r="T36" s="3" t="n">
        <v>4</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DATE(2024,12,31)</f>
        <v/>
      </c>
      <c r="B37" s="6" t="n">
        <v>31</v>
      </c>
      <c r="C37" s="6">
        <f>Q36</f>
        <v/>
      </c>
      <c r="D37" s="3" t="n">
        <v>1</v>
      </c>
      <c r="E37" s="3" t="n"/>
      <c r="F37" s="3" t="n"/>
      <c r="G37" s="3" t="n"/>
      <c r="H37" s="3" t="n"/>
      <c r="I37" s="3" t="n"/>
      <c r="J37" s="6">
        <f>IF(COUNTA(D37:I37)&gt;0,SUM(D37:I37),IF(K37="", "", K37))</f>
        <v/>
      </c>
      <c r="K37" s="3" t="n"/>
      <c r="L37" s="3" t="n">
        <v>2</v>
      </c>
      <c r="M37" s="4" t="n"/>
      <c r="N37" s="3" t="n"/>
      <c r="O37" s="6">
        <f>IF(COUNTA(L37:N37)&gt;0,SUM(L37:N37),IF(P37="", "", P37))</f>
        <v/>
      </c>
      <c r="P37" s="3" t="n"/>
      <c r="Q37" s="3" t="n"/>
      <c r="R37" s="3" t="n">
        <v>16</v>
      </c>
      <c r="S37" s="6">
        <f>IF(OR(C37="",J37="",O37=""),"",C37+J37-O37)</f>
        <v/>
      </c>
      <c r="T37" s="3" t="n">
        <v>9</v>
      </c>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ENERO 2025</t>
        </is>
      </c>
    </row>
    <row r="2">
      <c r="A2" s="2" t="inlineStr">
        <is>
          <t>Servicio</t>
        </is>
      </c>
      <c r="B2" s="6">
        <f>01_PARAMETROS!B3</f>
        <v/>
      </c>
      <c r="C2" s="2" t="inlineStr">
        <is>
          <t>Codigo</t>
        </is>
      </c>
      <c r="D2" s="6">
        <f>01_PARAMETROS!B4</f>
        <v/>
      </c>
      <c r="E2" s="2" t="inlineStr">
        <is>
          <t>Mes</t>
        </is>
      </c>
      <c r="F2" s="3" t="inlineStr">
        <is>
          <t>ENERO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DATE(2025,1,1)</f>
        <v/>
      </c>
      <c r="B7" s="6" t="n">
        <v>1</v>
      </c>
      <c r="C7" s="3" t="n">
        <v>17</v>
      </c>
      <c r="D7" s="3" t="n"/>
      <c r="E7" s="3" t="n"/>
      <c r="F7" s="3" t="n"/>
      <c r="G7" s="3" t="n"/>
      <c r="H7" s="3" t="n"/>
      <c r="I7" s="3" t="n"/>
      <c r="J7" s="6">
        <f>IF(COUNTA(D7:I7)&gt;0,SUM(D7:I7),IF(K7="", "", K7))</f>
        <v/>
      </c>
      <c r="K7" s="3" t="n"/>
      <c r="L7" s="3" t="n"/>
      <c r="M7" s="4" t="n"/>
      <c r="N7" s="3" t="n"/>
      <c r="O7" s="6">
        <f>IF(COUNTA(L7:N7)&gt;0,SUM(L7:N7),IF(P7="", "", P7))</f>
        <v/>
      </c>
      <c r="P7" s="3" t="n"/>
      <c r="Q7" s="3" t="n"/>
      <c r="R7" s="3" t="n">
        <v>16</v>
      </c>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DATE(2025,1,2)</f>
        <v/>
      </c>
      <c r="B8" s="6" t="n">
        <v>2</v>
      </c>
      <c r="C8" s="6">
        <f>Q7</f>
        <v/>
      </c>
      <c r="D8" s="3" t="n"/>
      <c r="E8" s="3" t="n"/>
      <c r="F8" s="3" t="n"/>
      <c r="G8" s="3" t="n"/>
      <c r="H8" s="3" t="n"/>
      <c r="I8" s="3" t="n"/>
      <c r="J8" s="6">
        <f>IF(COUNTA(D8:I8)&gt;0,SUM(D8:I8),IF(K8="", "", K8))</f>
        <v/>
      </c>
      <c r="K8" s="3" t="n">
        <v>2</v>
      </c>
      <c r="L8" s="3" t="n"/>
      <c r="M8" s="4" t="n"/>
      <c r="N8" s="3" t="n"/>
      <c r="O8" s="6">
        <f>IF(COUNTA(L8:N8)&gt;0,SUM(L8:N8),IF(P8="", "", P8))</f>
        <v/>
      </c>
      <c r="P8" s="3" t="n"/>
      <c r="Q8" s="3" t="n"/>
      <c r="R8" s="3" t="n">
        <v>16</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DATE(2025,1,3)</f>
        <v/>
      </c>
      <c r="B9" s="6" t="n">
        <v>3</v>
      </c>
      <c r="C9" s="6">
        <f>Q8</f>
        <v/>
      </c>
      <c r="D9" s="3" t="n"/>
      <c r="E9" s="3" t="n"/>
      <c r="F9" s="3" t="n"/>
      <c r="G9" s="3" t="n"/>
      <c r="H9" s="3" t="n"/>
      <c r="I9" s="3" t="n"/>
      <c r="J9" s="6">
        <f>IF(COUNTA(D9:I9)&gt;0,SUM(D9:I9),IF(K9="", "", K9))</f>
        <v/>
      </c>
      <c r="K9" s="3" t="n"/>
      <c r="L9" s="3" t="n"/>
      <c r="M9" s="4" t="n"/>
      <c r="N9" s="3" t="n"/>
      <c r="O9" s="6">
        <f>IF(COUNTA(L9:N9)&gt;0,SUM(L9:N9),IF(P9="", "", P9))</f>
        <v/>
      </c>
      <c r="P9" s="3" t="n">
        <v>2</v>
      </c>
      <c r="Q9" s="3" t="n"/>
      <c r="R9" s="3" t="n">
        <v>16</v>
      </c>
      <c r="S9" s="6">
        <f>IF(OR(C9="",J9="",O9=""),"",C9+J9-O9)</f>
        <v/>
      </c>
      <c r="T9" s="3" t="n">
        <v>8</v>
      </c>
      <c r="U9" s="3" t="n"/>
      <c r="V9" s="3" t="n"/>
      <c r="W9" s="6">
        <f>IF(Z9=1,"FALTAN DATOS",IF(S9&lt;0,"OCUPACION NEGATIVA",IF(X9=1,"SOBREOCUPACION",IF(Y9&lt;&gt;0,"BALANCE RARO","OK"))))</f>
        <v/>
      </c>
      <c r="X9" s="6">
        <f>IF(AND(R9&lt;&gt;"",S9&gt;R9),1,0)</f>
        <v/>
      </c>
      <c r="Y9" s="6">
        <f>IF(OR(C9="",J9="",O9="",S9=""),"",C9+J9-O9-S9)</f>
        <v/>
      </c>
      <c r="Z9" s="6">
        <f>IF(OR(R9="",A9="",B9="",C9="",J9="",O9=""),1,0)</f>
        <v/>
      </c>
    </row>
    <row r="10">
      <c r="A10" s="6">
        <f>DATE(2025,1,4)</f>
        <v/>
      </c>
      <c r="B10" s="6" t="n">
        <v>4</v>
      </c>
      <c r="C10" s="6">
        <f>Q9</f>
        <v/>
      </c>
      <c r="D10" s="3" t="n"/>
      <c r="E10" s="3" t="n"/>
      <c r="F10" s="3" t="n"/>
      <c r="G10" s="3" t="n"/>
      <c r="H10" s="3" t="n"/>
      <c r="I10" s="3" t="n"/>
      <c r="J10" s="6">
        <f>IF(COUNTA(D10:I10)&gt;0,SUM(D10:I10),IF(K10="", "", K10))</f>
        <v/>
      </c>
      <c r="K10" s="3" t="n">
        <v>1</v>
      </c>
      <c r="L10" s="3" t="n"/>
      <c r="M10" s="4" t="n"/>
      <c r="N10" s="3" t="n"/>
      <c r="O10" s="6">
        <f>IF(COUNTA(L10:N10)&gt;0,SUM(L10:N10),IF(P10="", "", P10))</f>
        <v/>
      </c>
      <c r="P10" s="3" t="n"/>
      <c r="Q10" s="3" t="n"/>
      <c r="R10" s="3" t="n">
        <v>16</v>
      </c>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DATE(2025,1,5)</f>
        <v/>
      </c>
      <c r="B11" s="6" t="n">
        <v>5</v>
      </c>
      <c r="C11" s="6">
        <f>Q10</f>
        <v/>
      </c>
      <c r="D11" s="3" t="n"/>
      <c r="E11" s="3" t="n"/>
      <c r="F11" s="3" t="n"/>
      <c r="G11" s="3" t="n"/>
      <c r="H11" s="3" t="n"/>
      <c r="I11" s="3" t="n"/>
      <c r="J11" s="6">
        <f>IF(COUNTA(D11:I11)&gt;0,SUM(D11:I11),IF(K11="", "", K11))</f>
        <v/>
      </c>
      <c r="K11" s="3" t="n">
        <v>1</v>
      </c>
      <c r="L11" s="3" t="n"/>
      <c r="M11" s="4" t="n"/>
      <c r="N11" s="3" t="n"/>
      <c r="O11" s="6">
        <f>IF(COUNTA(L11:N11)&gt;0,SUM(L11:N11),IF(P11="", "", P11))</f>
        <v/>
      </c>
      <c r="P11" s="3" t="n">
        <v>1</v>
      </c>
      <c r="Q11" s="3" t="n"/>
      <c r="R11" s="3" t="n">
        <v>16</v>
      </c>
      <c r="S11" s="6">
        <f>IF(OR(C11="",J11="",O11=""),"",C11+J11-O11)</f>
        <v/>
      </c>
      <c r="T11" s="3" t="n">
        <v>19</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DATE(2025,1,6)</f>
        <v/>
      </c>
      <c r="B12" s="6" t="n">
        <v>6</v>
      </c>
      <c r="C12" s="6">
        <f>Q11</f>
        <v/>
      </c>
      <c r="D12" s="3" t="n"/>
      <c r="E12" s="3" t="n"/>
      <c r="F12" s="3" t="n"/>
      <c r="G12" s="3" t="n"/>
      <c r="H12" s="3" t="n"/>
      <c r="I12" s="3" t="n"/>
      <c r="J12" s="6">
        <f>IF(COUNTA(D12:I12)&gt;0,SUM(D12:I12),IF(K12="", "", K12))</f>
        <v/>
      </c>
      <c r="K12" s="3" t="n">
        <v>7</v>
      </c>
      <c r="L12" s="3" t="n"/>
      <c r="M12" s="4" t="n"/>
      <c r="N12" s="3" t="n"/>
      <c r="O12" s="6">
        <f>IF(COUNTA(L12:N12)&gt;0,SUM(L12:N12),IF(P12="", "", P12))</f>
        <v/>
      </c>
      <c r="P12" s="3" t="n">
        <v>2</v>
      </c>
      <c r="Q12" s="3" t="n"/>
      <c r="R12" s="3" t="n">
        <v>16</v>
      </c>
      <c r="S12" s="6">
        <f>IF(OR(C12="",J12="",O12=""),"",C12+J12-O12)</f>
        <v/>
      </c>
      <c r="T12" s="3" t="n">
        <v>28</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DATE(2025,1,7)</f>
        <v/>
      </c>
      <c r="B13" s="6" t="n">
        <v>7</v>
      </c>
      <c r="C13" s="6">
        <f>Q12</f>
        <v/>
      </c>
      <c r="D13" s="3" t="n"/>
      <c r="E13" s="3" t="n"/>
      <c r="F13" s="3" t="n"/>
      <c r="G13" s="3" t="n"/>
      <c r="H13" s="3" t="n"/>
      <c r="I13" s="3" t="n"/>
      <c r="J13" s="6">
        <f>IF(COUNTA(D13:I13)&gt;0,SUM(D13:I13),IF(K13="", "", K13))</f>
        <v/>
      </c>
      <c r="K13" s="3" t="n">
        <v>2</v>
      </c>
      <c r="L13" s="3" t="n"/>
      <c r="M13" s="4" t="n"/>
      <c r="N13" s="3" t="n"/>
      <c r="O13" s="6">
        <f>IF(COUNTA(L13:N13)&gt;0,SUM(L13:N13),IF(P13="", "", P13))</f>
        <v/>
      </c>
      <c r="P13" s="3" t="n">
        <v>1</v>
      </c>
      <c r="Q13" s="3" t="n"/>
      <c r="R13" s="3" t="n">
        <v>16</v>
      </c>
      <c r="S13" s="6">
        <f>IF(OR(C13="",J13="",O13=""),"",C13+J13-O13)</f>
        <v/>
      </c>
      <c r="T13" s="3" t="n">
        <v>15</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DATE(2025,1,8)</f>
        <v/>
      </c>
      <c r="B14" s="6" t="n">
        <v>8</v>
      </c>
      <c r="C14" s="6">
        <f>Q13</f>
        <v/>
      </c>
      <c r="D14" s="3" t="n"/>
      <c r="E14" s="3" t="n"/>
      <c r="F14" s="3" t="n"/>
      <c r="G14" s="3" t="n"/>
      <c r="H14" s="3" t="n"/>
      <c r="I14" s="3" t="n"/>
      <c r="J14" s="6">
        <f>IF(COUNTA(D14:I14)&gt;0,SUM(D14:I14),IF(K14="", "", K14))</f>
        <v/>
      </c>
      <c r="K14" s="3" t="n">
        <v>1</v>
      </c>
      <c r="L14" s="3" t="n"/>
      <c r="M14" s="4" t="n"/>
      <c r="N14" s="3" t="n"/>
      <c r="O14" s="6">
        <f>IF(COUNTA(L14:N14)&gt;0,SUM(L14:N14),IF(P14="", "", P14))</f>
        <v/>
      </c>
      <c r="P14" s="3" t="n">
        <v>2</v>
      </c>
      <c r="Q14" s="3" t="n"/>
      <c r="R14" s="3" t="n">
        <v>16</v>
      </c>
      <c r="S14" s="6">
        <f>IF(OR(C14="",J14="",O14=""),"",C14+J14-O14)</f>
        <v/>
      </c>
      <c r="T14" s="3" t="n">
        <v>14</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DATE(2025,1,9)</f>
        <v/>
      </c>
      <c r="B15" s="6" t="n">
        <v>9</v>
      </c>
      <c r="C15" s="6">
        <f>Q14</f>
        <v/>
      </c>
      <c r="D15" s="3" t="n"/>
      <c r="E15" s="3" t="n"/>
      <c r="F15" s="3" t="n"/>
      <c r="G15" s="3" t="n"/>
      <c r="H15" s="3" t="n"/>
      <c r="I15" s="3" t="n"/>
      <c r="J15" s="6">
        <f>IF(COUNTA(D15:I15)&gt;0,SUM(D15:I15),IF(K15="", "", K15))</f>
        <v/>
      </c>
      <c r="K15" s="3" t="n">
        <v>2</v>
      </c>
      <c r="L15" s="3" t="n"/>
      <c r="M15" s="4" t="n"/>
      <c r="N15" s="3" t="n"/>
      <c r="O15" s="6">
        <f>IF(COUNTA(L15:N15)&gt;0,SUM(L15:N15),IF(P15="", "", P15))</f>
        <v/>
      </c>
      <c r="P15" s="3" t="n">
        <v>2</v>
      </c>
      <c r="Q15" s="3" t="n"/>
      <c r="R15" s="3" t="n">
        <v>16</v>
      </c>
      <c r="S15" s="6">
        <f>IF(OR(C15="",J15="",O15=""),"",C15+J15-O15)</f>
        <v/>
      </c>
      <c r="T15" s="3" t="n">
        <v>10</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DATE(2025,1,10)</f>
        <v/>
      </c>
      <c r="B16" s="6" t="n">
        <v>10</v>
      </c>
      <c r="C16" s="6">
        <f>Q15</f>
        <v/>
      </c>
      <c r="D16" s="3" t="n"/>
      <c r="E16" s="3" t="n"/>
      <c r="F16" s="3" t="n"/>
      <c r="G16" s="3" t="n"/>
      <c r="H16" s="3" t="n"/>
      <c r="I16" s="3" t="n"/>
      <c r="J16" s="6">
        <f>IF(COUNTA(D16:I16)&gt;0,SUM(D16:I16),IF(K16="", "", K16))</f>
        <v/>
      </c>
      <c r="K16" s="3" t="n">
        <v>1</v>
      </c>
      <c r="L16" s="3" t="n"/>
      <c r="M16" s="4" t="n"/>
      <c r="N16" s="3" t="n"/>
      <c r="O16" s="6">
        <f>IF(COUNTA(L16:N16)&gt;0,SUM(L16:N16),IF(P16="", "", P16))</f>
        <v/>
      </c>
      <c r="P16" s="3" t="n"/>
      <c r="Q16" s="3" t="n"/>
      <c r="R16" s="3" t="n">
        <v>16</v>
      </c>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DATE(2025,1,11)</f>
        <v/>
      </c>
      <c r="B17" s="6" t="n">
        <v>11</v>
      </c>
      <c r="C17" s="6">
        <f>Q16</f>
        <v/>
      </c>
      <c r="D17" s="3" t="n"/>
      <c r="E17" s="3" t="n"/>
      <c r="F17" s="3" t="n"/>
      <c r="G17" s="3" t="n"/>
      <c r="H17" s="3" t="n"/>
      <c r="I17" s="3" t="n"/>
      <c r="J17" s="6">
        <f>IF(COUNTA(D17:I17)&gt;0,SUM(D17:I17),IF(K17="", "", K17))</f>
        <v/>
      </c>
      <c r="K17" s="3" t="n">
        <v>2</v>
      </c>
      <c r="L17" s="3" t="n"/>
      <c r="M17" s="4" t="n"/>
      <c r="N17" s="3" t="n"/>
      <c r="O17" s="6">
        <f>IF(COUNTA(L17:N17)&gt;0,SUM(L17:N17),IF(P17="", "", P17))</f>
        <v/>
      </c>
      <c r="P17" s="3" t="n"/>
      <c r="Q17" s="3" t="n"/>
      <c r="R17" s="3" t="n">
        <v>16</v>
      </c>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v>16</v>
      </c>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v>3</v>
      </c>
      <c r="Q19" s="3" t="n"/>
      <c r="R19" s="3" t="n">
        <v>16</v>
      </c>
      <c r="S19" s="6">
        <f>IF(OR(C19="",J19="",O19=""),"",C19+J19-O19)</f>
        <v/>
      </c>
      <c r="T19" s="3" t="n">
        <v>19</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DATE(2025,1,14)</f>
        <v/>
      </c>
      <c r="B20" s="6" t="n">
        <v>14</v>
      </c>
      <c r="C20" s="6">
        <f>Q19</f>
        <v/>
      </c>
      <c r="D20" s="3" t="n"/>
      <c r="E20" s="3" t="n"/>
      <c r="F20" s="3" t="n"/>
      <c r="G20" s="3" t="n"/>
      <c r="H20" s="3" t="n"/>
      <c r="I20" s="3" t="n"/>
      <c r="J20" s="6">
        <f>IF(COUNTA(D20:I20)&gt;0,SUM(D20:I20),IF(K20="", "", K20))</f>
        <v/>
      </c>
      <c r="K20" s="3" t="n">
        <v>2</v>
      </c>
      <c r="L20" s="3" t="n"/>
      <c r="M20" s="4" t="n"/>
      <c r="N20" s="3" t="n"/>
      <c r="O20" s="6">
        <f>IF(COUNTA(L20:N20)&gt;0,SUM(L20:N20),IF(P20="", "", P20))</f>
        <v/>
      </c>
      <c r="P20" s="3" t="n">
        <v>6</v>
      </c>
      <c r="Q20" s="3" t="n"/>
      <c r="R20" s="3" t="n">
        <v>16</v>
      </c>
      <c r="S20" s="6">
        <f>IF(OR(C20="",J20="",O20=""),"",C20+J20-O20)</f>
        <v/>
      </c>
      <c r="T20" s="3" t="n">
        <v>51</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DATE(2025,1,15)</f>
        <v/>
      </c>
      <c r="B21" s="6" t="n">
        <v>15</v>
      </c>
      <c r="C21" s="6">
        <f>Q20</f>
        <v/>
      </c>
      <c r="D21" s="3" t="n"/>
      <c r="E21" s="3" t="n"/>
      <c r="F21" s="3" t="n"/>
      <c r="G21" s="3" t="n"/>
      <c r="H21" s="3" t="n"/>
      <c r="I21" s="3" t="n"/>
      <c r="J21" s="6">
        <f>IF(COUNTA(D21:I21)&gt;0,SUM(D21:I21),IF(K21="", "", K21))</f>
        <v/>
      </c>
      <c r="K21" s="3" t="n">
        <v>5</v>
      </c>
      <c r="L21" s="3" t="n"/>
      <c r="M21" s="4" t="n"/>
      <c r="N21" s="3" t="n"/>
      <c r="O21" s="6">
        <f>IF(COUNTA(L21:N21)&gt;0,SUM(L21:N21),IF(P21="", "", P21))</f>
        <v/>
      </c>
      <c r="P21" s="3" t="n">
        <v>1</v>
      </c>
      <c r="Q21" s="3" t="n"/>
      <c r="R21" s="3" t="n">
        <v>16</v>
      </c>
      <c r="S21" s="6">
        <f>IF(OR(C21="",J21="",O21=""),"",C21+J21-O21)</f>
        <v/>
      </c>
      <c r="T21" s="3" t="n">
        <v>6</v>
      </c>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DATE(2025,1,16)</f>
        <v/>
      </c>
      <c r="B22" s="6" t="n">
        <v>16</v>
      </c>
      <c r="C22" s="6">
        <f>Q21</f>
        <v/>
      </c>
      <c r="D22" s="3" t="n"/>
      <c r="E22" s="3" t="n"/>
      <c r="F22" s="3" t="n"/>
      <c r="G22" s="3" t="n"/>
      <c r="H22" s="3" t="n"/>
      <c r="I22" s="3" t="n"/>
      <c r="J22" s="6">
        <f>IF(COUNTA(D22:I22)&gt;0,SUM(D22:I22),IF(K22="", "", K22))</f>
        <v/>
      </c>
      <c r="K22" s="3" t="n">
        <v>3</v>
      </c>
      <c r="L22" s="3" t="n"/>
      <c r="M22" s="4" t="n"/>
      <c r="N22" s="3" t="n"/>
      <c r="O22" s="6">
        <f>IF(COUNTA(L22:N22)&gt;0,SUM(L22:N22),IF(P22="", "", P22))</f>
        <v/>
      </c>
      <c r="P22" s="3" t="n">
        <v>3</v>
      </c>
      <c r="Q22" s="3" t="n"/>
      <c r="R22" s="3" t="n">
        <v>16</v>
      </c>
      <c r="S22" s="6">
        <f>IF(OR(C22="",J22="",O22=""),"",C22+J22-O22)</f>
        <v/>
      </c>
      <c r="T22" s="3" t="n">
        <v>25</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DATE(2025,1,17)</f>
        <v/>
      </c>
      <c r="B23" s="6" t="n">
        <v>17</v>
      </c>
      <c r="C23" s="6">
        <f>Q22</f>
        <v/>
      </c>
      <c r="D23" s="3" t="n"/>
      <c r="E23" s="3" t="n"/>
      <c r="F23" s="3" t="n"/>
      <c r="G23" s="3" t="n"/>
      <c r="H23" s="3" t="n"/>
      <c r="I23" s="3" t="n"/>
      <c r="J23" s="6">
        <f>IF(COUNTA(D23:I23)&gt;0,SUM(D23:I23),IF(K23="", "", K23))</f>
        <v/>
      </c>
      <c r="K23" s="3" t="n">
        <v>1</v>
      </c>
      <c r="L23" s="3" t="n"/>
      <c r="M23" s="4" t="n"/>
      <c r="N23" s="3" t="n"/>
      <c r="O23" s="6">
        <f>IF(COUNTA(L23:N23)&gt;0,SUM(L23:N23),IF(P23="", "", P23))</f>
        <v/>
      </c>
      <c r="P23" s="3" t="n">
        <v>3</v>
      </c>
      <c r="Q23" s="3" t="n"/>
      <c r="R23" s="3" t="n">
        <v>16</v>
      </c>
      <c r="S23" s="6">
        <f>IF(OR(C23="",J23="",O23=""),"",C23+J23-O23)</f>
        <v/>
      </c>
      <c r="T23" s="3" t="n">
        <v>22</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v>16</v>
      </c>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DATE(2025,1,19)</f>
        <v/>
      </c>
      <c r="B25" s="6" t="n">
        <v>19</v>
      </c>
      <c r="C25" s="6">
        <f>Q24</f>
        <v/>
      </c>
      <c r="D25" s="3" t="n"/>
      <c r="E25" s="3" t="n"/>
      <c r="F25" s="3" t="n"/>
      <c r="G25" s="3" t="n"/>
      <c r="H25" s="3" t="n"/>
      <c r="I25" s="3" t="n"/>
      <c r="J25" s="6">
        <f>IF(COUNTA(D25:I25)&gt;0,SUM(D25:I25),IF(K25="", "", K25))</f>
        <v/>
      </c>
      <c r="K25" s="3" t="n">
        <v>1</v>
      </c>
      <c r="L25" s="3" t="n"/>
      <c r="M25" s="4" t="n"/>
      <c r="N25" s="3" t="n"/>
      <c r="O25" s="6">
        <f>IF(COUNTA(L25:N25)&gt;0,SUM(L25:N25),IF(P25="", "", P25))</f>
        <v/>
      </c>
      <c r="P25" s="3" t="n"/>
      <c r="Q25" s="3" t="n"/>
      <c r="R25" s="3" t="n">
        <v>16</v>
      </c>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DATE(2025,1,20)</f>
        <v/>
      </c>
      <c r="B26" s="6" t="n">
        <v>20</v>
      </c>
      <c r="C26" s="6">
        <f>Q25</f>
        <v/>
      </c>
      <c r="D26" s="3" t="n"/>
      <c r="E26" s="3" t="n"/>
      <c r="F26" s="3" t="n"/>
      <c r="G26" s="3" t="n"/>
      <c r="H26" s="3" t="n"/>
      <c r="I26" s="3" t="n"/>
      <c r="J26" s="6">
        <f>IF(COUNTA(D26:I26)&gt;0,SUM(D26:I26),IF(K26="", "", K26))</f>
        <v/>
      </c>
      <c r="K26" s="3" t="n">
        <v>1</v>
      </c>
      <c r="L26" s="3" t="n"/>
      <c r="M26" s="4" t="n"/>
      <c r="N26" s="3" t="n"/>
      <c r="O26" s="6">
        <f>IF(COUNTA(L26:N26)&gt;0,SUM(L26:N26),IF(P26="", "", P26))</f>
        <v/>
      </c>
      <c r="P26" s="3" t="n">
        <v>4</v>
      </c>
      <c r="Q26" s="3" t="n"/>
      <c r="R26" s="3" t="n">
        <v>16</v>
      </c>
      <c r="S26" s="6">
        <f>IF(OR(C26="",J26="",O26=""),"",C26+J26-O26)</f>
        <v/>
      </c>
      <c r="T26" s="3" t="n">
        <v>22</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DATE(2025,1,21)</f>
        <v/>
      </c>
      <c r="B27" s="6" t="n">
        <v>21</v>
      </c>
      <c r="C27" s="6">
        <f>Q26</f>
        <v/>
      </c>
      <c r="D27" s="3" t="n"/>
      <c r="E27" s="3" t="n"/>
      <c r="F27" s="3" t="n"/>
      <c r="G27" s="3" t="n"/>
      <c r="H27" s="3" t="n"/>
      <c r="I27" s="3" t="n"/>
      <c r="J27" s="6">
        <f>IF(COUNTA(D27:I27)&gt;0,SUM(D27:I27),IF(K27="", "", K27))</f>
        <v/>
      </c>
      <c r="K27" s="3" t="n">
        <v>3</v>
      </c>
      <c r="L27" s="3" t="n"/>
      <c r="M27" s="4" t="n"/>
      <c r="N27" s="3" t="n"/>
      <c r="O27" s="6">
        <f>IF(COUNTA(L27:N27)&gt;0,SUM(L27:N27),IF(P27="", "", P27))</f>
        <v/>
      </c>
      <c r="P27" s="3" t="n"/>
      <c r="Q27" s="3" t="n"/>
      <c r="R27" s="3" t="n">
        <v>16</v>
      </c>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DATE(2025,1,22)</f>
        <v/>
      </c>
      <c r="B28" s="6" t="n">
        <v>22</v>
      </c>
      <c r="C28" s="6">
        <f>Q27</f>
        <v/>
      </c>
      <c r="D28" s="3" t="n"/>
      <c r="E28" s="3" t="n"/>
      <c r="F28" s="3" t="n"/>
      <c r="G28" s="3" t="n"/>
      <c r="H28" s="3" t="n"/>
      <c r="I28" s="3" t="n"/>
      <c r="J28" s="6">
        <f>IF(COUNTA(D28:I28)&gt;0,SUM(D28:I28),IF(K28="", "", K28))</f>
        <v/>
      </c>
      <c r="K28" s="3" t="n">
        <v>2</v>
      </c>
      <c r="L28" s="3" t="n"/>
      <c r="M28" s="4" t="n"/>
      <c r="N28" s="3" t="n"/>
      <c r="O28" s="6">
        <f>IF(COUNTA(L28:N28)&gt;0,SUM(L28:N28),IF(P28="", "", P28))</f>
        <v/>
      </c>
      <c r="P28" s="3" t="n"/>
      <c r="Q28" s="3" t="n"/>
      <c r="R28" s="3" t="n">
        <v>16</v>
      </c>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DATE(2025,1,23)</f>
        <v/>
      </c>
      <c r="B29" s="6" t="n">
        <v>23</v>
      </c>
      <c r="C29" s="6">
        <f>Q28</f>
        <v/>
      </c>
      <c r="D29" s="3" t="n"/>
      <c r="E29" s="3" t="n"/>
      <c r="F29" s="3" t="n"/>
      <c r="G29" s="3" t="n"/>
      <c r="H29" s="3" t="n"/>
      <c r="I29" s="3" t="n"/>
      <c r="J29" s="6">
        <f>IF(COUNTA(D29:I29)&gt;0,SUM(D29:I29),IF(K29="", "", K29))</f>
        <v/>
      </c>
      <c r="K29" s="3" t="n">
        <v>4</v>
      </c>
      <c r="L29" s="3" t="n"/>
      <c r="M29" s="4" t="n"/>
      <c r="N29" s="3" t="n"/>
      <c r="O29" s="6">
        <f>IF(COUNTA(L29:N29)&gt;0,SUM(L29:N29),IF(P29="", "", P29))</f>
        <v/>
      </c>
      <c r="P29" s="3" t="n">
        <v>5</v>
      </c>
      <c r="Q29" s="3" t="n"/>
      <c r="R29" s="3" t="n">
        <v>16</v>
      </c>
      <c r="S29" s="6">
        <f>IF(OR(C29="",J29="",O29=""),"",C29+J29-O29)</f>
        <v/>
      </c>
      <c r="T29" s="3" t="n">
        <v>33</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DATE(2025,1,24)</f>
        <v/>
      </c>
      <c r="B30" s="6" t="n">
        <v>24</v>
      </c>
      <c r="C30" s="6">
        <f>Q29</f>
        <v/>
      </c>
      <c r="D30" s="3" t="n"/>
      <c r="E30" s="3" t="n"/>
      <c r="F30" s="3" t="n"/>
      <c r="G30" s="3" t="n"/>
      <c r="H30" s="3" t="n"/>
      <c r="I30" s="3" t="n"/>
      <c r="J30" s="6">
        <f>IF(COUNTA(D30:I30)&gt;0,SUM(D30:I30),IF(K30="", "", K30))</f>
        <v/>
      </c>
      <c r="K30" s="3" t="n">
        <v>1</v>
      </c>
      <c r="L30" s="3" t="n"/>
      <c r="M30" s="4" t="n"/>
      <c r="N30" s="3" t="n"/>
      <c r="O30" s="6">
        <f>IF(COUNTA(L30:N30)&gt;0,SUM(L30:N30),IF(P30="", "", P30))</f>
        <v/>
      </c>
      <c r="P30" s="3" t="n">
        <v>1</v>
      </c>
      <c r="Q30" s="3" t="n"/>
      <c r="R30" s="3" t="n">
        <v>16</v>
      </c>
      <c r="S30" s="6">
        <f>IF(OR(C30="",J30="",O30=""),"",C30+J30-O30)</f>
        <v/>
      </c>
      <c r="T30" s="3" t="n">
        <v>3</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v>1</v>
      </c>
      <c r="Q31" s="3" t="n"/>
      <c r="R31" s="3" t="n">
        <v>16</v>
      </c>
      <c r="S31" s="6">
        <f>IF(OR(C31="",J31="",O31=""),"",C31+J31-O31)</f>
        <v/>
      </c>
      <c r="T31" s="3" t="n">
        <v>9</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v>16</v>
      </c>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DATE(2025,1,27)</f>
        <v/>
      </c>
      <c r="B33" s="6" t="n">
        <v>27</v>
      </c>
      <c r="C33" s="6">
        <f>Q32</f>
        <v/>
      </c>
      <c r="D33" s="3" t="n"/>
      <c r="E33" s="3" t="n"/>
      <c r="F33" s="3" t="n"/>
      <c r="G33" s="3" t="n"/>
      <c r="H33" s="3" t="n"/>
      <c r="I33" s="3" t="n"/>
      <c r="J33" s="6">
        <f>IF(COUNTA(D33:I33)&gt;0,SUM(D33:I33),IF(K33="", "", K33))</f>
        <v/>
      </c>
      <c r="K33" s="3" t="n">
        <v>6</v>
      </c>
      <c r="L33" s="3" t="n"/>
      <c r="M33" s="4" t="n"/>
      <c r="N33" s="3" t="n"/>
      <c r="O33" s="6">
        <f>IF(COUNTA(L33:N33)&gt;0,SUM(L33:N33),IF(P33="", "", P33))</f>
        <v/>
      </c>
      <c r="P33" s="3" t="n">
        <v>4</v>
      </c>
      <c r="Q33" s="3" t="n"/>
      <c r="R33" s="3" t="n">
        <v>16</v>
      </c>
      <c r="S33" s="6">
        <f>IF(OR(C33="",J33="",O33=""),"",C33+J33-O33)</f>
        <v/>
      </c>
      <c r="T33" s="3" t="n">
        <v>41</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DATE(2025,1,28)</f>
        <v/>
      </c>
      <c r="B34" s="6" t="n">
        <v>28</v>
      </c>
      <c r="C34" s="6">
        <f>Q33</f>
        <v/>
      </c>
      <c r="D34" s="3" t="n"/>
      <c r="E34" s="3" t="n"/>
      <c r="F34" s="3" t="n"/>
      <c r="G34" s="3" t="n"/>
      <c r="H34" s="3" t="n"/>
      <c r="I34" s="3" t="n"/>
      <c r="J34" s="6">
        <f>IF(COUNTA(D34:I34)&gt;0,SUM(D34:I34),IF(K34="", "", K34))</f>
        <v/>
      </c>
      <c r="K34" s="3" t="n">
        <v>1</v>
      </c>
      <c r="L34" s="3" t="n"/>
      <c r="M34" s="4" t="n"/>
      <c r="N34" s="3" t="n"/>
      <c r="O34" s="6">
        <f>IF(COUNTA(L34:N34)&gt;0,SUM(L34:N34),IF(P34="", "", P34))</f>
        <v/>
      </c>
      <c r="P34" s="3" t="n">
        <v>1</v>
      </c>
      <c r="Q34" s="3" t="n"/>
      <c r="R34" s="3" t="n">
        <v>16</v>
      </c>
      <c r="S34" s="6">
        <f>IF(OR(C34="",J34="",O34=""),"",C34+J34-O34)</f>
        <v/>
      </c>
      <c r="T34" s="3" t="n">
        <v>5</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v>1</v>
      </c>
      <c r="Q35" s="3" t="n"/>
      <c r="R35" s="3" t="n">
        <v>16</v>
      </c>
      <c r="S35" s="6">
        <f>IF(OR(C35="",J35="",O35=""),"",C35+J35-O35)</f>
        <v/>
      </c>
      <c r="T35" s="3" t="n">
        <v>9</v>
      </c>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DATE(2025,1,30)</f>
        <v/>
      </c>
      <c r="B36" s="6" t="n">
        <v>30</v>
      </c>
      <c r="C36" s="6">
        <f>Q35</f>
        <v/>
      </c>
      <c r="D36" s="3" t="n"/>
      <c r="E36" s="3" t="n"/>
      <c r="F36" s="3" t="n"/>
      <c r="G36" s="3" t="n"/>
      <c r="H36" s="3" t="n"/>
      <c r="I36" s="3" t="n"/>
      <c r="J36" s="6">
        <f>IF(COUNTA(D36:I36)&gt;0,SUM(D36:I36),IF(K36="", "", K36))</f>
        <v/>
      </c>
      <c r="K36" s="3" t="n">
        <v>1</v>
      </c>
      <c r="L36" s="3" t="n"/>
      <c r="M36" s="4" t="n"/>
      <c r="N36" s="3" t="n"/>
      <c r="O36" s="6">
        <f>IF(COUNTA(L36:N36)&gt;0,SUM(L36:N36),IF(P36="", "", P36))</f>
        <v/>
      </c>
      <c r="P36" s="3" t="n">
        <v>3</v>
      </c>
      <c r="Q36" s="3" t="n"/>
      <c r="R36" s="3" t="n">
        <v>16</v>
      </c>
      <c r="S36" s="6">
        <f>IF(OR(C36="",J36="",O36=""),"",C36+J36-O36)</f>
        <v/>
      </c>
      <c r="T36" s="3" t="n">
        <v>23</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DATE(2025,1,31)</f>
        <v/>
      </c>
      <c r="B37" s="6" t="n">
        <v>31</v>
      </c>
      <c r="C37" s="6">
        <f>Q36</f>
        <v/>
      </c>
      <c r="D37" s="3" t="n"/>
      <c r="E37" s="3" t="n"/>
      <c r="F37" s="3" t="n"/>
      <c r="G37" s="3" t="n"/>
      <c r="H37" s="3" t="n"/>
      <c r="I37" s="3" t="n"/>
      <c r="J37" s="6">
        <f>IF(COUNTA(D37:I37)&gt;0,SUM(D37:I37),IF(K37="", "", K37))</f>
        <v/>
      </c>
      <c r="K37" s="3" t="n">
        <v>2</v>
      </c>
      <c r="L37" s="3" t="n"/>
      <c r="M37" s="4" t="n"/>
      <c r="N37" s="3" t="n"/>
      <c r="O37" s="6">
        <f>IF(COUNTA(L37:N37)&gt;0,SUM(L37:N37),IF(P37="", "", P37))</f>
        <v/>
      </c>
      <c r="P37" s="3" t="n">
        <v>1</v>
      </c>
      <c r="Q37" s="3" t="n"/>
      <c r="R37" s="3" t="n">
        <v>16</v>
      </c>
      <c r="S37" s="6">
        <f>IF(OR(C37="",J37="",O37=""),"",C37+J37-O37)</f>
        <v/>
      </c>
      <c r="T37" s="3" t="n">
        <v>10</v>
      </c>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52"/>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FEBRERO 2025</t>
        </is>
      </c>
    </row>
    <row r="2">
      <c r="A2" s="2" t="inlineStr">
        <is>
          <t>Servicio</t>
        </is>
      </c>
      <c r="B2" s="6">
        <f>01_PARAMETROS!B3</f>
        <v/>
      </c>
      <c r="C2" s="2" t="inlineStr">
        <is>
          <t>Codigo</t>
        </is>
      </c>
      <c r="D2" s="6">
        <f>01_PARAMETROS!B4</f>
        <v/>
      </c>
      <c r="E2" s="2" t="inlineStr">
        <is>
          <t>Mes</t>
        </is>
      </c>
      <c r="F2" s="3" t="inlineStr">
        <is>
          <t>FEBRERO</t>
        </is>
      </c>
      <c r="G2" s="2" t="inlineStr">
        <is>
          <t>Ano</t>
        </is>
      </c>
      <c r="H2" s="3" t="n">
        <v>2025</v>
      </c>
      <c r="I2" s="2" t="inlineStr">
        <is>
          <t>Camas base</t>
        </is>
      </c>
      <c r="J2" s="6">
        <f>01_PARAMETROS!B5</f>
        <v/>
      </c>
      <c r="K2" s="2" t="inlineStr">
        <is>
          <t>Dias del mes</t>
        </is>
      </c>
      <c r="L2" s="3" t="n">
        <v>28</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DATE(2025,2,1)</f>
        <v/>
      </c>
      <c r="B7" s="6" t="n">
        <v>1</v>
      </c>
      <c r="C7" s="3" t="n">
        <v>12</v>
      </c>
      <c r="D7" s="3" t="n"/>
      <c r="E7" s="3" t="n"/>
      <c r="F7" s="3" t="n"/>
      <c r="G7" s="3" t="n"/>
      <c r="H7" s="3" t="n"/>
      <c r="I7" s="3" t="n"/>
      <c r="J7" s="6">
        <f>IF(COUNTA(D7:I7)&gt;0,SUM(D7:I7),IF(K7="", "", K7))</f>
        <v/>
      </c>
      <c r="K7" s="3" t="n">
        <v>1</v>
      </c>
      <c r="L7" s="3" t="n"/>
      <c r="M7" s="4" t="n"/>
      <c r="N7" s="3" t="n"/>
      <c r="O7" s="6">
        <f>IF(COUNTA(L7:N7)&gt;0,SUM(L7:N7),IF(P7="", "", P7))</f>
        <v/>
      </c>
      <c r="P7" s="3" t="n"/>
      <c r="Q7" s="3" t="n"/>
      <c r="R7" s="3" t="n">
        <v>16</v>
      </c>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v>16</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DATE(2025,2,3)</f>
        <v/>
      </c>
      <c r="B9" s="6" t="n">
        <v>3</v>
      </c>
      <c r="C9" s="6">
        <f>Q8</f>
        <v/>
      </c>
      <c r="D9" s="3" t="n"/>
      <c r="E9" s="3" t="n"/>
      <c r="F9" s="3" t="n"/>
      <c r="G9" s="3" t="n"/>
      <c r="H9" s="3" t="n"/>
      <c r="I9" s="3" t="n"/>
      <c r="J9" s="6">
        <f>IF(COUNTA(D9:I9)&gt;0,SUM(D9:I9),IF(K9="", "", K9))</f>
        <v/>
      </c>
      <c r="K9" s="3" t="n"/>
      <c r="L9" s="3" t="n"/>
      <c r="M9" s="4" t="n"/>
      <c r="N9" s="3" t="n"/>
      <c r="O9" s="6">
        <f>IF(COUNTA(L9:N9)&gt;0,SUM(L9:N9),IF(P9="", "", P9))</f>
        <v/>
      </c>
      <c r="P9" s="3" t="n">
        <v>2</v>
      </c>
      <c r="Q9" s="3" t="n"/>
      <c r="R9" s="3" t="n">
        <v>16</v>
      </c>
      <c r="S9" s="6">
        <f>IF(OR(C9="",J9="",O9=""),"",C9+J9-O9)</f>
        <v/>
      </c>
      <c r="T9" s="3" t="n">
        <v>17</v>
      </c>
      <c r="U9" s="3" t="n"/>
      <c r="V9" s="3" t="n"/>
      <c r="W9" s="6">
        <f>IF(Z9=1,"FALTAN DATOS",IF(S9&lt;0,"OCUPACION NEGATIVA",IF(X9=1,"SOBREOCUPACION",IF(Y9&lt;&gt;0,"BALANCE RARO","OK"))))</f>
        <v/>
      </c>
      <c r="X9" s="6">
        <f>IF(AND(R9&lt;&gt;"",S9&gt;R9),1,0)</f>
        <v/>
      </c>
      <c r="Y9" s="6">
        <f>IF(OR(C9="",J9="",O9="",S9=""),"",C9+J9-O9-S9)</f>
        <v/>
      </c>
      <c r="Z9" s="6">
        <f>IF(OR(R9="",A9="",B9="",C9="",J9="",O9=""),1,0)</f>
        <v/>
      </c>
    </row>
    <row r="10">
      <c r="A10" s="6">
        <f>DATE(2025,2,4)</f>
        <v/>
      </c>
      <c r="B10" s="6" t="n">
        <v>4</v>
      </c>
      <c r="C10" s="6">
        <f>Q9</f>
        <v/>
      </c>
      <c r="D10" s="3" t="n"/>
      <c r="E10" s="3" t="n"/>
      <c r="F10" s="3" t="n"/>
      <c r="G10" s="3" t="n"/>
      <c r="H10" s="3" t="n"/>
      <c r="I10" s="3" t="n"/>
      <c r="J10" s="6">
        <f>IF(COUNTA(D10:I10)&gt;0,SUM(D10:I10),IF(K10="", "", K10))</f>
        <v/>
      </c>
      <c r="K10" s="3" t="n">
        <v>2</v>
      </c>
      <c r="L10" s="3" t="n"/>
      <c r="M10" s="4" t="n"/>
      <c r="N10" s="3" t="n"/>
      <c r="O10" s="6">
        <f>IF(COUNTA(L10:N10)&gt;0,SUM(L10:N10),IF(P10="", "", P10))</f>
        <v/>
      </c>
      <c r="P10" s="3" t="n">
        <v>6</v>
      </c>
      <c r="Q10" s="3" t="n"/>
      <c r="R10" s="3" t="n">
        <v>16</v>
      </c>
      <c r="S10" s="6">
        <f>IF(OR(C10="",J10="",O10=""),"",C10+J10-O10)</f>
        <v/>
      </c>
      <c r="T10" s="3" t="n">
        <v>51</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DATE(2025,2,5)</f>
        <v/>
      </c>
      <c r="B11" s="6" t="n">
        <v>5</v>
      </c>
      <c r="C11" s="6">
        <f>Q10</f>
        <v/>
      </c>
      <c r="D11" s="3" t="n"/>
      <c r="E11" s="3" t="n"/>
      <c r="F11" s="3" t="n"/>
      <c r="G11" s="3" t="n"/>
      <c r="H11" s="3" t="n"/>
      <c r="I11" s="3" t="n"/>
      <c r="J11" s="6">
        <f>IF(COUNTA(D11:I11)&gt;0,SUM(D11:I11),IF(K11="", "", K11))</f>
        <v/>
      </c>
      <c r="K11" s="3" t="n">
        <v>2</v>
      </c>
      <c r="L11" s="3" t="n"/>
      <c r="M11" s="4" t="n"/>
      <c r="N11" s="3" t="n"/>
      <c r="O11" s="6">
        <f>IF(COUNTA(L11:N11)&gt;0,SUM(L11:N11),IF(P11="", "", P11))</f>
        <v/>
      </c>
      <c r="P11" s="3" t="n"/>
      <c r="Q11" s="3" t="n"/>
      <c r="R11" s="3" t="n">
        <v>16</v>
      </c>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DATE(2025,2,6)</f>
        <v/>
      </c>
      <c r="B12" s="6" t="n">
        <v>6</v>
      </c>
      <c r="C12" s="6">
        <f>Q11</f>
        <v/>
      </c>
      <c r="D12" s="3" t="n"/>
      <c r="E12" s="3" t="n"/>
      <c r="F12" s="3" t="n"/>
      <c r="G12" s="3" t="n"/>
      <c r="H12" s="3" t="n"/>
      <c r="I12" s="3" t="n"/>
      <c r="J12" s="6">
        <f>IF(COUNTA(D12:I12)&gt;0,SUM(D12:I12),IF(K12="", "", K12))</f>
        <v/>
      </c>
      <c r="K12" s="3" t="n">
        <v>1</v>
      </c>
      <c r="L12" s="3" t="n"/>
      <c r="M12" s="4" t="n"/>
      <c r="N12" s="3" t="n"/>
      <c r="O12" s="6">
        <f>IF(COUNTA(L12:N12)&gt;0,SUM(L12:N12),IF(P12="", "", P12))</f>
        <v/>
      </c>
      <c r="P12" s="3" t="n">
        <v>1</v>
      </c>
      <c r="Q12" s="3" t="n"/>
      <c r="R12" s="3" t="n">
        <v>16</v>
      </c>
      <c r="S12" s="6">
        <f>IF(OR(C12="",J12="",O12=""),"",C12+J12-O12)</f>
        <v/>
      </c>
      <c r="T12" s="3" t="n">
        <v>6</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v>3</v>
      </c>
      <c r="Q13" s="3" t="n"/>
      <c r="R13" s="3" t="n">
        <v>16</v>
      </c>
      <c r="S13" s="6">
        <f>IF(OR(C13="",J13="",O13=""),"",C13+J13-O13)</f>
        <v/>
      </c>
      <c r="T13" s="3" t="n">
        <v>30</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DATE(2025,2,8)</f>
        <v/>
      </c>
      <c r="B14" s="6" t="n">
        <v>8</v>
      </c>
      <c r="C14" s="6">
        <f>Q13</f>
        <v/>
      </c>
      <c r="D14" s="3" t="n"/>
      <c r="E14" s="3" t="n"/>
      <c r="F14" s="3" t="n"/>
      <c r="G14" s="3" t="n"/>
      <c r="H14" s="3" t="n"/>
      <c r="I14" s="3" t="n"/>
      <c r="J14" s="6">
        <f>IF(COUNTA(D14:I14)&gt;0,SUM(D14:I14),IF(K14="", "", K14))</f>
        <v/>
      </c>
      <c r="K14" s="3" t="n">
        <v>1</v>
      </c>
      <c r="L14" s="3" t="n"/>
      <c r="M14" s="4" t="n"/>
      <c r="N14" s="3" t="n"/>
      <c r="O14" s="6">
        <f>IF(COUNTA(L14:N14)&gt;0,SUM(L14:N14),IF(P14="", "", P14))</f>
        <v/>
      </c>
      <c r="P14" s="3" t="n">
        <v>1</v>
      </c>
      <c r="Q14" s="3" t="n"/>
      <c r="R14" s="3" t="n">
        <v>16</v>
      </c>
      <c r="S14" s="6">
        <f>IF(OR(C14="",J14="",O14=""),"",C14+J14-O14)</f>
        <v/>
      </c>
      <c r="T14" s="3" t="n">
        <v>8</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DATE(2025,2,9)</f>
        <v/>
      </c>
      <c r="B15" s="6" t="n">
        <v>9</v>
      </c>
      <c r="C15" s="6">
        <f>Q14</f>
        <v/>
      </c>
      <c r="D15" s="3" t="n"/>
      <c r="E15" s="3" t="n"/>
      <c r="F15" s="3" t="n"/>
      <c r="G15" s="3" t="n"/>
      <c r="H15" s="3" t="n"/>
      <c r="I15" s="3" t="n"/>
      <c r="J15" s="6">
        <f>IF(COUNTA(D15:I15)&gt;0,SUM(D15:I15),IF(K15="", "", K15))</f>
        <v/>
      </c>
      <c r="K15" s="3" t="n">
        <v>1</v>
      </c>
      <c r="L15" s="3" t="n"/>
      <c r="M15" s="4" t="n"/>
      <c r="N15" s="3" t="n"/>
      <c r="O15" s="6">
        <f>IF(COUNTA(L15:N15)&gt;0,SUM(L15:N15),IF(P15="", "", P15))</f>
        <v/>
      </c>
      <c r="P15" s="3" t="n"/>
      <c r="Q15" s="3" t="n"/>
      <c r="R15" s="3" t="n">
        <v>16</v>
      </c>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DATE(2025,2,10)</f>
        <v/>
      </c>
      <c r="B16" s="6" t="n">
        <v>10</v>
      </c>
      <c r="C16" s="6">
        <f>Q15</f>
        <v/>
      </c>
      <c r="D16" s="3" t="n"/>
      <c r="E16" s="3" t="n"/>
      <c r="F16" s="3" t="n"/>
      <c r="G16" s="3" t="n"/>
      <c r="H16" s="3" t="n"/>
      <c r="I16" s="3" t="n"/>
      <c r="J16" s="6">
        <f>IF(COUNTA(D16:I16)&gt;0,SUM(D16:I16),IF(K16="", "", K16))</f>
        <v/>
      </c>
      <c r="K16" s="3" t="n">
        <v>5</v>
      </c>
      <c r="L16" s="3" t="n"/>
      <c r="M16" s="4" t="n"/>
      <c r="N16" s="3" t="n"/>
      <c r="O16" s="6">
        <f>IF(COUNTA(L16:N16)&gt;0,SUM(L16:N16),IF(P16="", "", P16))</f>
        <v/>
      </c>
      <c r="P16" s="3" t="n">
        <v>1</v>
      </c>
      <c r="Q16" s="3" t="n"/>
      <c r="R16" s="3" t="n">
        <v>16</v>
      </c>
      <c r="S16" s="6">
        <f>IF(OR(C16="",J16="",O16=""),"",C16+J16-O16)</f>
        <v/>
      </c>
      <c r="T16" s="3" t="n">
        <v>4</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DATE(2025,2,11)</f>
        <v/>
      </c>
      <c r="B17" s="6" t="n">
        <v>11</v>
      </c>
      <c r="C17" s="6">
        <f>Q16</f>
        <v/>
      </c>
      <c r="D17" s="3" t="n"/>
      <c r="E17" s="3" t="n"/>
      <c r="F17" s="3" t="n"/>
      <c r="G17" s="3" t="n"/>
      <c r="H17" s="3" t="n"/>
      <c r="I17" s="3" t="n"/>
      <c r="J17" s="6">
        <f>IF(COUNTA(D17:I17)&gt;0,SUM(D17:I17),IF(K17="", "", K17))</f>
        <v/>
      </c>
      <c r="K17" s="3" t="n">
        <v>6</v>
      </c>
      <c r="L17" s="3" t="n"/>
      <c r="M17" s="4" t="n"/>
      <c r="N17" s="3" t="n"/>
      <c r="O17" s="6">
        <f>IF(COUNTA(L17:N17)&gt;0,SUM(L17:N17),IF(P17="", "", P17))</f>
        <v/>
      </c>
      <c r="P17" s="3" t="n">
        <v>3</v>
      </c>
      <c r="Q17" s="3" t="n"/>
      <c r="R17" s="3" t="n">
        <v>16</v>
      </c>
      <c r="S17" s="6">
        <f>IF(OR(C17="",J17="",O17=""),"",C17+J17-O17)</f>
        <v/>
      </c>
      <c r="T17" s="3" t="n">
        <v>17</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DATE(2025,2,12)</f>
        <v/>
      </c>
      <c r="B18" s="6" t="n">
        <v>12</v>
      </c>
      <c r="C18" s="6">
        <f>Q17</f>
        <v/>
      </c>
      <c r="D18" s="3" t="n"/>
      <c r="E18" s="3" t="n"/>
      <c r="F18" s="3" t="n"/>
      <c r="G18" s="3" t="n"/>
      <c r="H18" s="3" t="n"/>
      <c r="I18" s="3" t="n"/>
      <c r="J18" s="6">
        <f>IF(COUNTA(D18:I18)&gt;0,SUM(D18:I18),IF(K18="", "", K18))</f>
        <v/>
      </c>
      <c r="K18" s="3" t="n">
        <v>2</v>
      </c>
      <c r="L18" s="3" t="n"/>
      <c r="M18" s="4" t="n"/>
      <c r="N18" s="3" t="n"/>
      <c r="O18" s="6">
        <f>IF(COUNTA(L18:N18)&gt;0,SUM(L18:N18),IF(P18="", "", P18))</f>
        <v/>
      </c>
      <c r="P18" s="3" t="n">
        <v>1</v>
      </c>
      <c r="Q18" s="3" t="n"/>
      <c r="R18" s="3" t="n">
        <v>16</v>
      </c>
      <c r="S18" s="6">
        <f>IF(OR(C18="",J18="",O18=""),"",C18+J18-O18)</f>
        <v/>
      </c>
      <c r="T18" s="3" t="n">
        <v>12</v>
      </c>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DATE(2025,2,13)</f>
        <v/>
      </c>
      <c r="B19" s="6" t="n">
        <v>13</v>
      </c>
      <c r="C19" s="6">
        <f>Q18</f>
        <v/>
      </c>
      <c r="D19" s="3" t="n"/>
      <c r="E19" s="3" t="n"/>
      <c r="F19" s="3" t="n"/>
      <c r="G19" s="3" t="n"/>
      <c r="H19" s="3" t="n"/>
      <c r="I19" s="3" t="n"/>
      <c r="J19" s="6">
        <f>IF(COUNTA(D19:I19)&gt;0,SUM(D19:I19),IF(K19="", "", K19))</f>
        <v/>
      </c>
      <c r="K19" s="3" t="n">
        <v>2</v>
      </c>
      <c r="L19" s="3" t="n"/>
      <c r="M19" s="4" t="n"/>
      <c r="N19" s="3" t="n"/>
      <c r="O19" s="6">
        <f>IF(COUNTA(L19:N19)&gt;0,SUM(L19:N19),IF(P19="", "", P19))</f>
        <v/>
      </c>
      <c r="P19" s="3" t="n">
        <v>1</v>
      </c>
      <c r="Q19" s="3" t="n"/>
      <c r="R19" s="3" t="n">
        <v>16</v>
      </c>
      <c r="S19" s="6">
        <f>IF(OR(C19="",J19="",O19=""),"",C19+J19-O19)</f>
        <v/>
      </c>
      <c r="T19" s="3" t="n">
        <v>3</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DATE(2025,2,14)</f>
        <v/>
      </c>
      <c r="B20" s="6" t="n">
        <v>14</v>
      </c>
      <c r="C20" s="6">
        <f>Q19</f>
        <v/>
      </c>
      <c r="D20" s="3" t="n"/>
      <c r="E20" s="3" t="n"/>
      <c r="F20" s="3" t="n"/>
      <c r="G20" s="3" t="n"/>
      <c r="H20" s="3" t="n"/>
      <c r="I20" s="3" t="n"/>
      <c r="J20" s="6">
        <f>IF(COUNTA(D20:I20)&gt;0,SUM(D20:I20),IF(K20="", "", K20))</f>
        <v/>
      </c>
      <c r="K20" s="3" t="n">
        <v>1</v>
      </c>
      <c r="L20" s="3" t="n"/>
      <c r="M20" s="4" t="n"/>
      <c r="N20" s="3" t="n"/>
      <c r="O20" s="6">
        <f>IF(COUNTA(L20:N20)&gt;0,SUM(L20:N20),IF(P20="", "", P20))</f>
        <v/>
      </c>
      <c r="P20" s="3" t="n">
        <v>3</v>
      </c>
      <c r="Q20" s="3" t="n"/>
      <c r="R20" s="3" t="n">
        <v>16</v>
      </c>
      <c r="S20" s="6">
        <f>IF(OR(C20="",J20="",O20=""),"",C20+J20-O20)</f>
        <v/>
      </c>
      <c r="T20" s="3" t="n">
        <v>12</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DATE(2025,2,15)</f>
        <v/>
      </c>
      <c r="B21" s="6" t="n">
        <v>15</v>
      </c>
      <c r="C21" s="6">
        <f>Q20</f>
        <v/>
      </c>
      <c r="D21" s="3" t="n"/>
      <c r="E21" s="3" t="n"/>
      <c r="F21" s="3" t="n"/>
      <c r="G21" s="3" t="n"/>
      <c r="H21" s="3" t="n"/>
      <c r="I21" s="3" t="n"/>
      <c r="J21" s="6">
        <f>IF(COUNTA(D21:I21)&gt;0,SUM(D21:I21),IF(K21="", "", K21))</f>
        <v/>
      </c>
      <c r="K21" s="3" t="n">
        <v>1</v>
      </c>
      <c r="L21" s="3" t="n"/>
      <c r="M21" s="4" t="n"/>
      <c r="N21" s="3" t="n"/>
      <c r="O21" s="6">
        <f>IF(COUNTA(L21:N21)&gt;0,SUM(L21:N21),IF(P21="", "", P21))</f>
        <v/>
      </c>
      <c r="P21" s="3" t="n">
        <v>1</v>
      </c>
      <c r="Q21" s="3" t="n"/>
      <c r="R21" s="3" t="n">
        <v>16</v>
      </c>
      <c r="S21" s="6">
        <f>IF(OR(C21="",J21="",O21=""),"",C21+J21-O21)</f>
        <v/>
      </c>
      <c r="T21" s="3" t="n">
        <v>5</v>
      </c>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v>1</v>
      </c>
      <c r="Q22" s="3" t="n"/>
      <c r="R22" s="3" t="n">
        <v>16</v>
      </c>
      <c r="S22" s="6">
        <f>IF(OR(C22="",J22="",O22=""),"",C22+J22-O22)</f>
        <v/>
      </c>
      <c r="T22" s="3" t="n">
        <v>2</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DATE(2025,2,17)</f>
        <v/>
      </c>
      <c r="B23" s="6" t="n">
        <v>17</v>
      </c>
      <c r="C23" s="6">
        <f>Q22</f>
        <v/>
      </c>
      <c r="D23" s="3" t="n"/>
      <c r="E23" s="3" t="n"/>
      <c r="F23" s="3" t="n"/>
      <c r="G23" s="3" t="n"/>
      <c r="H23" s="3" t="n"/>
      <c r="I23" s="3" t="n"/>
      <c r="J23" s="6">
        <f>IF(COUNTA(D23:I23)&gt;0,SUM(D23:I23),IF(K23="", "", K23))</f>
        <v/>
      </c>
      <c r="K23" s="3" t="n">
        <v>5</v>
      </c>
      <c r="L23" s="3" t="n"/>
      <c r="M23" s="4" t="n"/>
      <c r="N23" s="3" t="n"/>
      <c r="O23" s="6">
        <f>IF(COUNTA(L23:N23)&gt;0,SUM(L23:N23),IF(P23="", "", P23))</f>
        <v/>
      </c>
      <c r="P23" s="3" t="n"/>
      <c r="Q23" s="3" t="n"/>
      <c r="R23" s="3" t="n">
        <v>16</v>
      </c>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DATE(2025,2,18)</f>
        <v/>
      </c>
      <c r="B24" s="6" t="n">
        <v>18</v>
      </c>
      <c r="C24" s="6">
        <f>Q23</f>
        <v/>
      </c>
      <c r="D24" s="3" t="n"/>
      <c r="E24" s="3" t="n"/>
      <c r="F24" s="3" t="n"/>
      <c r="G24" s="3" t="n"/>
      <c r="H24" s="3" t="n"/>
      <c r="I24" s="3" t="n"/>
      <c r="J24" s="6">
        <f>IF(COUNTA(D24:I24)&gt;0,SUM(D24:I24),IF(K24="", "", K24))</f>
        <v/>
      </c>
      <c r="K24" s="3" t="n">
        <v>1</v>
      </c>
      <c r="L24" s="3" t="n"/>
      <c r="M24" s="4" t="n"/>
      <c r="N24" s="3" t="n"/>
      <c r="O24" s="6">
        <f>IF(COUNTA(L24:N24)&gt;0,SUM(L24:N24),IF(P24="", "", P24))</f>
        <v/>
      </c>
      <c r="P24" s="3" t="n">
        <v>6</v>
      </c>
      <c r="Q24" s="3" t="n"/>
      <c r="R24" s="3" t="n">
        <v>16</v>
      </c>
      <c r="S24" s="6">
        <f>IF(OR(C24="",J24="",O24=""),"",C24+J24-O24)</f>
        <v/>
      </c>
      <c r="T24" s="3" t="n">
        <v>48</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DATE(2025,2,19)</f>
        <v/>
      </c>
      <c r="B25" s="6" t="n">
        <v>19</v>
      </c>
      <c r="C25" s="6">
        <f>Q24</f>
        <v/>
      </c>
      <c r="D25" s="3" t="n"/>
      <c r="E25" s="3" t="n"/>
      <c r="F25" s="3" t="n"/>
      <c r="G25" s="3" t="n"/>
      <c r="H25" s="3" t="n"/>
      <c r="I25" s="3" t="n"/>
      <c r="J25" s="6">
        <f>IF(COUNTA(D25:I25)&gt;0,SUM(D25:I25),IF(K25="", "", K25))</f>
        <v/>
      </c>
      <c r="K25" s="3" t="n">
        <v>2</v>
      </c>
      <c r="L25" s="3" t="n"/>
      <c r="M25" s="4" t="n"/>
      <c r="N25" s="3" t="n"/>
      <c r="O25" s="6">
        <f>IF(COUNTA(L25:N25)&gt;0,SUM(L25:N25),IF(P25="", "", P25))</f>
        <v/>
      </c>
      <c r="P25" s="3" t="n">
        <v>2</v>
      </c>
      <c r="Q25" s="3" t="n"/>
      <c r="R25" s="3" t="n">
        <v>16</v>
      </c>
      <c r="S25" s="6">
        <f>IF(OR(C25="",J25="",O25=""),"",C25+J25-O25)</f>
        <v/>
      </c>
      <c r="T25" s="3" t="n">
        <v>17</v>
      </c>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DATE(2025,2,20)</f>
        <v/>
      </c>
      <c r="B26" s="6" t="n">
        <v>20</v>
      </c>
      <c r="C26" s="6">
        <f>Q25</f>
        <v/>
      </c>
      <c r="D26" s="3" t="n"/>
      <c r="E26" s="3" t="n"/>
      <c r="F26" s="3" t="n"/>
      <c r="G26" s="3" t="n"/>
      <c r="H26" s="3" t="n"/>
      <c r="I26" s="3" t="n"/>
      <c r="J26" s="6">
        <f>IF(COUNTA(D26:I26)&gt;0,SUM(D26:I26),IF(K26="", "", K26))</f>
        <v/>
      </c>
      <c r="K26" s="3" t="n">
        <v>2</v>
      </c>
      <c r="L26" s="3" t="n"/>
      <c r="M26" s="4" t="n"/>
      <c r="N26" s="3" t="n"/>
      <c r="O26" s="6">
        <f>IF(COUNTA(L26:N26)&gt;0,SUM(L26:N26),IF(P26="", "", P26))</f>
        <v/>
      </c>
      <c r="P26" s="3" t="n">
        <v>2</v>
      </c>
      <c r="Q26" s="3" t="n"/>
      <c r="R26" s="3" t="n">
        <v>16</v>
      </c>
      <c r="S26" s="6">
        <f>IF(OR(C26="",J26="",O26=""),"",C26+J26-O26)</f>
        <v/>
      </c>
      <c r="T26" s="3" t="n">
        <v>12</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DATE(2025,2,21)</f>
        <v/>
      </c>
      <c r="B27" s="6" t="n">
        <v>21</v>
      </c>
      <c r="C27" s="6">
        <f>Q26</f>
        <v/>
      </c>
      <c r="D27" s="3" t="n"/>
      <c r="E27" s="3" t="n"/>
      <c r="F27" s="3" t="n"/>
      <c r="G27" s="3" t="n"/>
      <c r="H27" s="3" t="n"/>
      <c r="I27" s="3" t="n"/>
      <c r="J27" s="6">
        <f>IF(COUNTA(D27:I27)&gt;0,SUM(D27:I27),IF(K27="", "", K27))</f>
        <v/>
      </c>
      <c r="K27" s="3" t="n">
        <v>1</v>
      </c>
      <c r="L27" s="3" t="n"/>
      <c r="M27" s="4" t="n"/>
      <c r="N27" s="3" t="n"/>
      <c r="O27" s="6">
        <f>IF(COUNTA(L27:N27)&gt;0,SUM(L27:N27),IF(P27="", "", P27))</f>
        <v/>
      </c>
      <c r="P27" s="3" t="n">
        <v>4</v>
      </c>
      <c r="Q27" s="3" t="n"/>
      <c r="R27" s="3" t="n">
        <v>16</v>
      </c>
      <c r="S27" s="6">
        <f>IF(OR(C27="",J27="",O27=""),"",C27+J27-O27)</f>
        <v/>
      </c>
      <c r="T27" s="3" t="n">
        <v>24</v>
      </c>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DATE(2025,2,22)</f>
        <v/>
      </c>
      <c r="B28" s="6" t="n">
        <v>22</v>
      </c>
      <c r="C28" s="6">
        <f>Q27</f>
        <v/>
      </c>
      <c r="D28" s="3" t="n"/>
      <c r="E28" s="3" t="n"/>
      <c r="F28" s="3" t="n"/>
      <c r="G28" s="3" t="n"/>
      <c r="H28" s="3" t="n"/>
      <c r="I28" s="3" t="n"/>
      <c r="J28" s="6">
        <f>IF(COUNTA(D28:I28)&gt;0,SUM(D28:I28),IF(K28="", "", K28))</f>
        <v/>
      </c>
      <c r="K28" s="3" t="n">
        <v>1</v>
      </c>
      <c r="L28" s="3" t="n"/>
      <c r="M28" s="4" t="n"/>
      <c r="N28" s="3" t="n"/>
      <c r="O28" s="6">
        <f>IF(COUNTA(L28:N28)&gt;0,SUM(L28:N28),IF(P28="", "", P28))</f>
        <v/>
      </c>
      <c r="P28" s="3" t="n"/>
      <c r="Q28" s="3" t="n"/>
      <c r="R28" s="3" t="n">
        <v>16</v>
      </c>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DATE(2025,2,23)</f>
        <v/>
      </c>
      <c r="B29" s="6" t="n">
        <v>23</v>
      </c>
      <c r="C29" s="6">
        <f>Q28</f>
        <v/>
      </c>
      <c r="D29" s="3" t="n"/>
      <c r="E29" s="3" t="n"/>
      <c r="F29" s="3" t="n"/>
      <c r="G29" s="3" t="n"/>
      <c r="H29" s="3" t="n"/>
      <c r="I29" s="3" t="n"/>
      <c r="J29" s="6">
        <f>IF(COUNTA(D29:I29)&gt;0,SUM(D29:I29),IF(K29="", "", K29))</f>
        <v/>
      </c>
      <c r="K29" s="3" t="n">
        <v>1</v>
      </c>
      <c r="L29" s="3" t="n"/>
      <c r="M29" s="4" t="n"/>
      <c r="N29" s="3" t="n"/>
      <c r="O29" s="6">
        <f>IF(COUNTA(L29:N29)&gt;0,SUM(L29:N29),IF(P29="", "", P29))</f>
        <v/>
      </c>
      <c r="P29" s="3" t="n"/>
      <c r="Q29" s="3" t="n"/>
      <c r="R29" s="3" t="n">
        <v>16</v>
      </c>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DATE(2025,2,24)</f>
        <v/>
      </c>
      <c r="B30" s="6" t="n">
        <v>24</v>
      </c>
      <c r="C30" s="6">
        <f>Q29</f>
        <v/>
      </c>
      <c r="D30" s="3" t="n"/>
      <c r="E30" s="3" t="n"/>
      <c r="F30" s="3" t="n"/>
      <c r="G30" s="3" t="n"/>
      <c r="H30" s="3" t="n"/>
      <c r="I30" s="3" t="n"/>
      <c r="J30" s="6">
        <f>IF(COUNTA(D30:I30)&gt;0,SUM(D30:I30),IF(K30="", "", K30))</f>
        <v/>
      </c>
      <c r="K30" s="3" t="n">
        <v>1</v>
      </c>
      <c r="L30" s="3" t="n"/>
      <c r="M30" s="4" t="n"/>
      <c r="N30" s="3" t="n"/>
      <c r="O30" s="6">
        <f>IF(COUNTA(L30:N30)&gt;0,SUM(L30:N30),IF(P30="", "", P30))</f>
        <v/>
      </c>
      <c r="P30" s="3" t="n">
        <v>3</v>
      </c>
      <c r="Q30" s="3" t="n"/>
      <c r="R30" s="3" t="n">
        <v>16</v>
      </c>
      <c r="S30" s="6">
        <f>IF(OR(C30="",J30="",O30=""),"",C30+J30-O30)</f>
        <v/>
      </c>
      <c r="T30" s="3" t="n">
        <v>21</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DATE(2025,2,25)</f>
        <v/>
      </c>
      <c r="B31" s="6" t="n">
        <v>25</v>
      </c>
      <c r="C31" s="6">
        <f>Q30</f>
        <v/>
      </c>
      <c r="D31" s="3" t="n"/>
      <c r="E31" s="3" t="n"/>
      <c r="F31" s="3" t="n"/>
      <c r="G31" s="3" t="n"/>
      <c r="H31" s="3" t="n"/>
      <c r="I31" s="3" t="n"/>
      <c r="J31" s="6">
        <f>IF(COUNTA(D31:I31)&gt;0,SUM(D31:I31),IF(K31="", "", K31))</f>
        <v/>
      </c>
      <c r="K31" s="3" t="n">
        <v>3</v>
      </c>
      <c r="L31" s="3" t="n"/>
      <c r="M31" s="4" t="n"/>
      <c r="N31" s="3" t="n"/>
      <c r="O31" s="6">
        <f>IF(COUNTA(L31:N31)&gt;0,SUM(L31:N31),IF(P31="", "", P31))</f>
        <v/>
      </c>
      <c r="P31" s="3" t="n"/>
      <c r="Q31" s="3" t="n"/>
      <c r="R31" s="3" t="n">
        <v>16</v>
      </c>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DATE(2025,2,26)</f>
        <v/>
      </c>
      <c r="B32" s="6" t="n">
        <v>26</v>
      </c>
      <c r="C32" s="6">
        <f>Q31</f>
        <v/>
      </c>
      <c r="D32" s="3" t="n"/>
      <c r="E32" s="3" t="n"/>
      <c r="F32" s="3" t="n"/>
      <c r="G32" s="3" t="n"/>
      <c r="H32" s="3" t="n"/>
      <c r="I32" s="3" t="n"/>
      <c r="J32" s="6">
        <f>IF(COUNTA(D32:I32)&gt;0,SUM(D32:I32),IF(K32="", "", K32))</f>
        <v/>
      </c>
      <c r="K32" s="3" t="n">
        <v>2</v>
      </c>
      <c r="L32" s="3" t="n"/>
      <c r="M32" s="4" t="n"/>
      <c r="N32" s="3" t="n"/>
      <c r="O32" s="6">
        <f>IF(COUNTA(L32:N32)&gt;0,SUM(L32:N32),IF(P32="", "", P32))</f>
        <v/>
      </c>
      <c r="P32" s="3" t="n">
        <v>1</v>
      </c>
      <c r="Q32" s="3" t="n"/>
      <c r="R32" s="3" t="n">
        <v>16</v>
      </c>
      <c r="S32" s="6">
        <f>IF(OR(C32="",J32="",O32=""),"",C32+J32-O32)</f>
        <v/>
      </c>
      <c r="T32" s="3" t="n">
        <v>9</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DATE(2025,2,27)</f>
        <v/>
      </c>
      <c r="B33" s="6" t="n">
        <v>27</v>
      </c>
      <c r="C33" s="6">
        <f>Q32</f>
        <v/>
      </c>
      <c r="D33" s="3" t="n"/>
      <c r="E33" s="3" t="n"/>
      <c r="F33" s="3" t="n"/>
      <c r="G33" s="3" t="n"/>
      <c r="H33" s="3" t="n"/>
      <c r="I33" s="3" t="n"/>
      <c r="J33" s="6">
        <f>IF(COUNTA(D33:I33)&gt;0,SUM(D33:I33),IF(K33="", "", K33))</f>
        <v/>
      </c>
      <c r="K33" s="3" t="n">
        <v>1</v>
      </c>
      <c r="L33" s="3" t="n"/>
      <c r="M33" s="4" t="n"/>
      <c r="N33" s="3" t="n"/>
      <c r="O33" s="6">
        <f>IF(COUNTA(L33:N33)&gt;0,SUM(L33:N33),IF(P33="", "", P33))</f>
        <v/>
      </c>
      <c r="P33" s="3" t="n">
        <v>3</v>
      </c>
      <c r="Q33" s="3" t="n"/>
      <c r="R33" s="3" t="n">
        <v>16</v>
      </c>
      <c r="S33" s="6">
        <f>IF(OR(C33="",J33="",O33=""),"",C33+J33-O33)</f>
        <v/>
      </c>
      <c r="T33" s="3" t="n">
        <v>25</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DATE(2025,2,28)</f>
        <v/>
      </c>
      <c r="B34" s="6" t="n">
        <v>28</v>
      </c>
      <c r="C34" s="6">
        <f>Q33</f>
        <v/>
      </c>
      <c r="D34" s="3" t="n"/>
      <c r="E34" s="3" t="n"/>
      <c r="F34" s="3" t="n"/>
      <c r="G34" s="3" t="n"/>
      <c r="H34" s="3" t="n"/>
      <c r="I34" s="3" t="n"/>
      <c r="J34" s="6">
        <f>IF(COUNTA(D34:I34)&gt;0,SUM(D34:I34),IF(K34="", "", K34))</f>
        <v/>
      </c>
      <c r="K34" s="3" t="n">
        <v>3</v>
      </c>
      <c r="L34" s="3" t="n"/>
      <c r="M34" s="4" t="n"/>
      <c r="N34" s="3" t="n"/>
      <c r="O34" s="6">
        <f>IF(COUNTA(L34:N34)&gt;0,SUM(L34:N34),IF(P34="", "", P34))</f>
        <v/>
      </c>
      <c r="P34" s="3" t="n">
        <v>2</v>
      </c>
      <c r="Q34" s="3" t="n"/>
      <c r="R34" s="3" t="n">
        <v>16</v>
      </c>
      <c r="S34" s="6">
        <f>IF(OR(C34="",J34="",O34=""),"",C34+J34-O34)</f>
        <v/>
      </c>
      <c r="T34" s="3" t="n">
        <v>26</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2" t="inlineStr">
        <is>
          <t>TOTAL</t>
        </is>
      </c>
      <c r="D35" s="8">
        <f>SUM(D7:D34)</f>
        <v/>
      </c>
      <c r="E35" s="8">
        <f>SUM(E7:E34)</f>
        <v/>
      </c>
      <c r="F35" s="8">
        <f>SUM(F7:F34)</f>
        <v/>
      </c>
      <c r="G35" s="8">
        <f>SUM(G7:G34)</f>
        <v/>
      </c>
      <c r="H35" s="8">
        <f>SUM(H7:H34)</f>
        <v/>
      </c>
      <c r="I35" s="8">
        <f>SUM(I7:I34)</f>
        <v/>
      </c>
      <c r="J35" s="8">
        <f>SUM(J7:J34)</f>
        <v/>
      </c>
      <c r="K35" s="8">
        <f>SUM(K7:K34)</f>
        <v/>
      </c>
      <c r="L35" s="8">
        <f>SUM(L7:L34)</f>
        <v/>
      </c>
      <c r="M35" s="8">
        <f>SUM(M7:M34)</f>
        <v/>
      </c>
      <c r="N35" s="8">
        <f>SUM(N7:N34)</f>
        <v/>
      </c>
      <c r="O35" s="8">
        <f>SUM(O7:O34)</f>
        <v/>
      </c>
      <c r="P35" s="8">
        <f>SUM(P7:P34)</f>
        <v/>
      </c>
      <c r="Q35" s="8">
        <f>SUM(Q7:Q34)</f>
        <v/>
      </c>
      <c r="R35" s="8">
        <f>SUM(R7:R34)</f>
        <v/>
      </c>
      <c r="S35" s="8">
        <f>SUM(S7:S34)</f>
        <v/>
      </c>
      <c r="T35" s="8">
        <f>SUM(T7:T34)</f>
        <v/>
      </c>
      <c r="U35" s="8">
        <f>SUM(U7:U34)</f>
        <v/>
      </c>
      <c r="V35" s="8">
        <f>SUM(V7:V34)</f>
        <v/>
      </c>
    </row>
    <row r="38">
      <c r="A38" s="2" t="inlineStr">
        <is>
          <t>RESUMEN DEL MES</t>
        </is>
      </c>
      <c r="B38" s="9" t="n"/>
      <c r="C38" s="9" t="n"/>
      <c r="D38" s="10" t="n"/>
      <c r="F38" s="2" t="inlineStr">
        <is>
          <t>CONTROL DEL MES</t>
        </is>
      </c>
      <c r="G38" s="9" t="n"/>
      <c r="H38" s="9" t="n"/>
      <c r="I38" s="10" t="n"/>
    </row>
    <row r="39">
      <c r="A39" s="5" t="inlineStr">
        <is>
          <t>Total ingresos</t>
        </is>
      </c>
      <c r="B39" s="6">
        <f>J35</f>
        <v/>
      </c>
      <c r="F39" s="5" t="inlineStr">
        <is>
          <t>Balance debe ser 0</t>
        </is>
      </c>
      <c r="G39" s="6">
        <f>IF(B50=0,"OK","REVISAR")</f>
        <v/>
      </c>
    </row>
    <row r="40">
      <c r="A40" s="5" t="inlineStr">
        <is>
          <t>Total egresos</t>
        </is>
      </c>
      <c r="B40" s="6">
        <f>O35</f>
        <v/>
      </c>
      <c r="F40" s="5" t="inlineStr">
        <is>
          <t>No debe haber ocupacion negativa</t>
        </is>
      </c>
      <c r="G40" s="6">
        <f>IF(COUNTIF(W7:W34,"OCUPACION NEGATIVA")=0,"OK","REVISAR")</f>
        <v/>
      </c>
    </row>
    <row r="41">
      <c r="A41" s="5" t="inlineStr">
        <is>
          <t>Altas hogar / otro hosp.</t>
        </is>
      </c>
      <c r="B41" s="6">
        <f>L35</f>
        <v/>
      </c>
      <c r="F41" s="5" t="inlineStr">
        <is>
          <t>No deberia faltar existencia inicial</t>
        </is>
      </c>
      <c r="G41" s="6">
        <f>IF(C7="","REVISAR","OK")</f>
        <v/>
      </c>
    </row>
    <row r="42">
      <c r="A42" s="5" t="inlineStr">
        <is>
          <t>Traslados a otro servicio</t>
        </is>
      </c>
      <c r="B42" s="6">
        <f>M35</f>
        <v/>
      </c>
      <c r="F42" s="5" t="inlineStr">
        <is>
          <t>Dias con alertas</t>
        </is>
      </c>
      <c r="G42" s="6">
        <f>B52</f>
        <v/>
      </c>
    </row>
    <row r="43">
      <c r="A43" s="5" t="inlineStr">
        <is>
          <t>Fallecidos</t>
        </is>
      </c>
      <c r="B43" s="6">
        <f>N35</f>
        <v/>
      </c>
    </row>
    <row r="44">
      <c r="A44" s="5" t="inlineStr">
        <is>
          <t>Pacientes atendidos del mes</t>
        </is>
      </c>
      <c r="B44" s="6">
        <f>C7+J35</f>
        <v/>
      </c>
    </row>
    <row r="45">
      <c r="A45" s="5" t="inlineStr">
        <is>
          <t>Dias personas atendidas</t>
        </is>
      </c>
      <c r="B45" s="6">
        <f>T35</f>
        <v/>
      </c>
    </row>
    <row r="46">
      <c r="A46" s="5" t="inlineStr">
        <is>
          <t>Promedio camas</t>
        </is>
      </c>
      <c r="B46" s="11">
        <f>AVERAGE(R7:R34)</f>
        <v/>
      </c>
    </row>
    <row r="47">
      <c r="A47" s="5" t="inlineStr">
        <is>
          <t>Indice ocupacional</t>
        </is>
      </c>
      <c r="B47" s="12">
        <f>IFERROR(S35/R35,"")</f>
        <v/>
      </c>
    </row>
    <row r="48">
      <c r="A48" s="5" t="inlineStr">
        <is>
          <t>Promedio dia de estada</t>
        </is>
      </c>
      <c r="B48" s="11">
        <f>IFERROR(T35/O35,"")</f>
        <v/>
      </c>
    </row>
    <row r="49">
      <c r="A49" s="5" t="inlineStr">
        <is>
          <t>Censo final</t>
        </is>
      </c>
      <c r="B49" s="6">
        <f>S34</f>
        <v/>
      </c>
    </row>
    <row r="50">
      <c r="A50" s="5" t="inlineStr">
        <is>
          <t>Balance del mes</t>
        </is>
      </c>
      <c r="B50" s="6">
        <f>C7+J35-O35-S34</f>
        <v/>
      </c>
    </row>
    <row r="51">
      <c r="A51" s="5" t="inlineStr">
        <is>
          <t>Dias con sobreocupacion</t>
        </is>
      </c>
      <c r="B51" s="6">
        <f>COUNTIF(W7:W34,"SOBREOCUPACION")</f>
        <v/>
      </c>
    </row>
    <row r="52">
      <c r="A52" s="5" t="inlineStr">
        <is>
          <t>Dias con alerta</t>
        </is>
      </c>
      <c r="B52" s="6">
        <f>COUNTIF(W7:W34,"&lt;&gt;OK")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38:I38"/>
    <mergeCell ref="A38:D38"/>
  </mergeCells>
  <dataValidations count="1">
    <dataValidation sqref="C7 D7 D8 D9 D10 D11 D12 D13 D14 D15 D16 D17 D18 D19 D20 D21 D22 D23 D24 D25 D26 D27 D28 D29 D30 D31 D32 D33 D34 E7 E8 E9 E10 E11 E12 E13 E14 E15 E16 E17 E18 E19 E20 E21 E22 E23 E24 E25 E26 E27 E28 E29 E30 E31 E32 E33 E34 F7 F8 F9 F10 F11 F12 F13 F14 F15 F16 F17 F18 F19 F20 F21 F22 F23 F24 F25 F26 F27 F28 F29 F30 F31 F32 F33 F34 G7 G8 G9 G10 G11 G12 G13 G14 G15 G16 G17 G18 G19 G20 G21 G22 G23 G24 G25 G26 G27 G28 G29 G30 G31 G32 G33 G34 H7 H8 H9 H10 H11 H12 H13 H14 H15 H16 H17 H18 H19 H20 H21 H22 H23 H24 H25 H26 H27 H28 H29 H30 H31 H32 H33 H34 I7 I8 I9 I10 I11 I12 I13 I14 I15 I16 I17 I18 I19 I20 I21 I22 I23 I24 I25 I26 I27 I28 I29 I30 I31 I32 I33 I34 K7 K8 K9 K10 K11 K12 K13 K14 K15 K16 K17 K18 K19 K20 K21 K22 K23 K24 K25 K26 K27 K28 K29 K30 K31 K32 K33 K34 L7 L8 L9 L10 L11 L12 L13 L14 L15 L16 L17 L18 L19 L20 L21 L22 L23 L24 L25 L26 L27 L28 L29 L30 L31 L32 L33 L34 N7 N8 N9 N10 N11 N12 N13 N14 N15 N16 N17 N18 N19 N20 N21 N22 N23 N24 N25 N26 N27 N28 N29 N30 N31 N32 N33 N34 P7 P8 P9 P10 P11 P12 P13 P14 P15 P16 P17 P18 P19 P20 P21 P22 P23 P24 P25 P26 P27 P28 P29 P30 P31 P32 P33 P34 Q7 Q8 Q9 Q10 Q11 Q12 Q13 Q14 Q15 Q16 Q17 Q18 Q19 Q20 Q21 Q22 Q23 Q24 Q25 Q26 Q27 Q28 Q29 Q30 Q31 Q32 Q33 Q34 R7 R8 R9 R10 R11 R12 R13 R14 R15 R16 R17 R18 R19 R20 R21 R22 R23 R24 R25 R26 R27 R28 R29 R30 R31 R32 R33 R34 T7 T8 T9 T10 T11 T12 T13 T14 T15 T16 T17 T18 T19 T20 T21 T22 T23 T24 T25 T26 T27 T28 T29 T30 T31 T32 T33 T34 U7 U8 U9 U10 U11 U12 U13 U14 U15 U16 U17 U18 U19 U20 U21 U22 U23 U24 U25 U26 U27 U28 U29 U30 U31 U32 U33 U34 V7 V8 V9 V10 V11 V12 V13 V14 V15 V16 V17 V18 V19 V20 V21 V22 V23 V24 V25 V26 V27 V28 V29 V30 V31 V32 V33 V34" showDropDown="0" showInputMessage="0" showErrorMessage="0" allowBlank="1" type="whole"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MARZO 2025</t>
        </is>
      </c>
    </row>
    <row r="2">
      <c r="A2" s="2" t="inlineStr">
        <is>
          <t>Servicio</t>
        </is>
      </c>
      <c r="B2" s="6">
        <f>01_PARAMETROS!B3</f>
        <v/>
      </c>
      <c r="C2" s="2" t="inlineStr">
        <is>
          <t>Codigo</t>
        </is>
      </c>
      <c r="D2" s="6">
        <f>01_PARAMETROS!B4</f>
        <v/>
      </c>
      <c r="E2" s="2" t="inlineStr">
        <is>
          <t>Mes</t>
        </is>
      </c>
      <c r="F2" s="3" t="inlineStr">
        <is>
          <t>MARZO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DATE(2025,3,1)</f>
        <v/>
      </c>
      <c r="B7" s="6" t="n">
        <v>1</v>
      </c>
      <c r="C7" s="3" t="n">
        <v>16</v>
      </c>
      <c r="D7" s="3" t="n"/>
      <c r="E7" s="3" t="n"/>
      <c r="F7" s="3" t="n"/>
      <c r="G7" s="3" t="n"/>
      <c r="H7" s="3" t="n"/>
      <c r="I7" s="3" t="n"/>
      <c r="J7" s="6">
        <f>IF(COUNTA(D7:I7)&gt;0,SUM(D7:I7),IF(K7="", "", K7))</f>
        <v/>
      </c>
      <c r="K7" s="3" t="n"/>
      <c r="L7" s="3" t="n"/>
      <c r="M7" s="4" t="n"/>
      <c r="N7" s="3" t="n"/>
      <c r="O7" s="6">
        <f>IF(COUNTA(L7:N7)&gt;0,SUM(L7:N7),IF(P7="", "", P7))</f>
        <v/>
      </c>
      <c r="P7" s="3" t="n">
        <v>2</v>
      </c>
      <c r="Q7" s="3" t="n"/>
      <c r="R7" s="3" t="n">
        <v>16</v>
      </c>
      <c r="S7" s="6">
        <f>IF(OR(C7="",J7="",O7=""),"",C7+J7-O7)</f>
        <v/>
      </c>
      <c r="T7" s="3" t="n">
        <v>21</v>
      </c>
      <c r="U7" s="3" t="n"/>
      <c r="V7" s="3" t="n"/>
      <c r="W7" s="6">
        <f>IF(Z7=1,"FALTAN DATOS",IF(S7&lt;0,"OCUPACION NEGATIVA",IF(X7=1,"SOBREOCUPACION",IF(Y7&lt;&gt;0,"BALANCE RARO","OK"))))</f>
        <v/>
      </c>
      <c r="X7" s="6">
        <f>IF(AND(R7&lt;&gt;"",S7&gt;R7),1,0)</f>
        <v/>
      </c>
      <c r="Y7" s="6">
        <f>IF(OR(C7="",J7="",O7="",S7=""),"",C7+J7-O7-S7)</f>
        <v/>
      </c>
      <c r="Z7" s="6">
        <f>IF(OR(R7="",A7="",B7="",C7="",J7="",O7=""),1,0)</f>
        <v/>
      </c>
    </row>
    <row r="8">
      <c r="A8" s="6">
        <f>DATE(2025,3,2)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v>16</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DATE(2025,3,3)</f>
        <v/>
      </c>
      <c r="B9" s="6" t="n">
        <v>3</v>
      </c>
      <c r="C9" s="6">
        <f>Q8</f>
        <v/>
      </c>
      <c r="D9" s="3" t="n"/>
      <c r="E9" s="3" t="n"/>
      <c r="F9" s="3" t="n"/>
      <c r="G9" s="3" t="n"/>
      <c r="H9" s="3" t="n"/>
      <c r="I9" s="3" t="n"/>
      <c r="J9" s="6">
        <f>IF(COUNTA(D9:I9)&gt;0,SUM(D9:I9),IF(K9="", "", K9))</f>
        <v/>
      </c>
      <c r="K9" s="3" t="n">
        <v>4</v>
      </c>
      <c r="L9" s="3" t="n"/>
      <c r="M9" s="4" t="n"/>
      <c r="N9" s="3" t="n"/>
      <c r="O9" s="6">
        <f>IF(COUNTA(L9:N9)&gt;0,SUM(L9:N9),IF(P9="", "", P9))</f>
        <v/>
      </c>
      <c r="P9" s="3" t="n">
        <v>4</v>
      </c>
      <c r="Q9" s="3" t="n"/>
      <c r="R9" s="3" t="n">
        <v>16</v>
      </c>
      <c r="S9" s="6">
        <f>IF(OR(C9="",J9="",O9=""),"",C9+J9-O9)</f>
        <v/>
      </c>
      <c r="T9" s="3" t="n">
        <v>34</v>
      </c>
      <c r="U9" s="3" t="n"/>
      <c r="V9" s="3" t="n"/>
      <c r="W9" s="6">
        <f>IF(Z9=1,"FALTAN DATOS",IF(S9&lt;0,"OCUPACION NEGATIVA",IF(X9=1,"SOBREOCUPACION",IF(Y9&lt;&gt;0,"BALANCE RARO","OK"))))</f>
        <v/>
      </c>
      <c r="X9" s="6">
        <f>IF(AND(R9&lt;&gt;"",S9&gt;R9),1,0)</f>
        <v/>
      </c>
      <c r="Y9" s="6">
        <f>IF(OR(C9="",J9="",O9="",S9=""),"",C9+J9-O9-S9)</f>
        <v/>
      </c>
      <c r="Z9" s="6">
        <f>IF(OR(R9="",A9="",B9="",C9="",J9="",O9=""),1,0)</f>
        <v/>
      </c>
    </row>
    <row r="10">
      <c r="A10" s="6">
        <f>DATE(2025,3,4)</f>
        <v/>
      </c>
      <c r="B10" s="6" t="n">
        <v>4</v>
      </c>
      <c r="C10" s="6">
        <f>Q9</f>
        <v/>
      </c>
      <c r="D10" s="3" t="n"/>
      <c r="E10" s="3" t="n"/>
      <c r="F10" s="3" t="n"/>
      <c r="G10" s="3" t="n"/>
      <c r="H10" s="3" t="n"/>
      <c r="I10" s="3" t="n"/>
      <c r="J10" s="6">
        <f>IF(COUNTA(D10:I10)&gt;0,SUM(D10:I10),IF(K10="", "", K10))</f>
        <v/>
      </c>
      <c r="K10" s="3" t="n">
        <v>1</v>
      </c>
      <c r="L10" s="3" t="n"/>
      <c r="M10" s="4" t="n"/>
      <c r="N10" s="3" t="n"/>
      <c r="O10" s="6">
        <f>IF(COUNTA(L10:N10)&gt;0,SUM(L10:N10),IF(P10="", "", P10))</f>
        <v/>
      </c>
      <c r="P10" s="3" t="n">
        <v>2</v>
      </c>
      <c r="Q10" s="3" t="n"/>
      <c r="R10" s="3" t="n">
        <v>16</v>
      </c>
      <c r="S10" s="6">
        <f>IF(OR(C10="",J10="",O10=""),"",C10+J10-O10)</f>
        <v/>
      </c>
      <c r="T10" s="3" t="n">
        <v>18</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DATE(2025,3,5)</f>
        <v/>
      </c>
      <c r="B11" s="6" t="n">
        <v>5</v>
      </c>
      <c r="C11" s="6">
        <f>Q10</f>
        <v/>
      </c>
      <c r="D11" s="3" t="n"/>
      <c r="E11" s="3" t="n"/>
      <c r="F11" s="3" t="n"/>
      <c r="G11" s="3" t="n"/>
      <c r="H11" s="3" t="n"/>
      <c r="I11" s="3" t="n"/>
      <c r="J11" s="6">
        <f>IF(COUNTA(D11:I11)&gt;0,SUM(D11:I11),IF(K11="", "", K11))</f>
        <v/>
      </c>
      <c r="K11" s="3" t="n">
        <v>2</v>
      </c>
      <c r="L11" s="3" t="n"/>
      <c r="M11" s="4" t="n"/>
      <c r="N11" s="3" t="n"/>
      <c r="O11" s="6">
        <f>IF(COUNTA(L11:N11)&gt;0,SUM(L11:N11),IF(P11="", "", P11))</f>
        <v/>
      </c>
      <c r="P11" s="3" t="n">
        <v>3</v>
      </c>
      <c r="Q11" s="3" t="n"/>
      <c r="R11" s="3" t="n">
        <v>16</v>
      </c>
      <c r="S11" s="6">
        <f>IF(OR(C11="",J11="",O11=""),"",C11+J11-O11)</f>
        <v/>
      </c>
      <c r="T11" s="3" t="n">
        <v>16</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DATE(2025,3,6)</f>
        <v/>
      </c>
      <c r="B12" s="6" t="n">
        <v>6</v>
      </c>
      <c r="C12" s="6">
        <f>Q11</f>
        <v/>
      </c>
      <c r="D12" s="3" t="n"/>
      <c r="E12" s="3" t="n"/>
      <c r="F12" s="3" t="n"/>
      <c r="G12" s="3" t="n"/>
      <c r="H12" s="3" t="n"/>
      <c r="I12" s="3" t="n"/>
      <c r="J12" s="6">
        <f>IF(COUNTA(D12:I12)&gt;0,SUM(D12:I12),IF(K12="", "", K12))</f>
        <v/>
      </c>
      <c r="K12" s="3" t="n">
        <v>1</v>
      </c>
      <c r="L12" s="3" t="n"/>
      <c r="M12" s="4" t="n"/>
      <c r="N12" s="3" t="n"/>
      <c r="O12" s="6">
        <f>IF(COUNTA(L12:N12)&gt;0,SUM(L12:N12),IF(P12="", "", P12))</f>
        <v/>
      </c>
      <c r="P12" s="3" t="n">
        <v>1</v>
      </c>
      <c r="Q12" s="3" t="n"/>
      <c r="R12" s="3" t="n">
        <v>16</v>
      </c>
      <c r="S12" s="6">
        <f>IF(OR(C12="",J12="",O12=""),"",C12+J12-O12)</f>
        <v/>
      </c>
      <c r="T12" s="3" t="n">
        <v>6</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DATE(2025,3,7)</f>
        <v/>
      </c>
      <c r="B13" s="6" t="n">
        <v>7</v>
      </c>
      <c r="C13" s="6">
        <f>Q12</f>
        <v/>
      </c>
      <c r="D13" s="3" t="n"/>
      <c r="E13" s="3" t="n"/>
      <c r="F13" s="3" t="n"/>
      <c r="G13" s="3" t="n"/>
      <c r="H13" s="3" t="n"/>
      <c r="I13" s="3" t="n"/>
      <c r="J13" s="6">
        <f>IF(COUNTA(D13:I13)&gt;0,SUM(D13:I13),IF(K13="", "", K13))</f>
        <v/>
      </c>
      <c r="K13" s="3" t="n">
        <v>2</v>
      </c>
      <c r="L13" s="3" t="n"/>
      <c r="M13" s="4" t="n"/>
      <c r="N13" s="3" t="n"/>
      <c r="O13" s="6">
        <f>IF(COUNTA(L13:N13)&gt;0,SUM(L13:N13),IF(P13="", "", P13))</f>
        <v/>
      </c>
      <c r="P13" s="3" t="n">
        <v>3</v>
      </c>
      <c r="Q13" s="3" t="n"/>
      <c r="R13" s="3" t="n">
        <v>16</v>
      </c>
      <c r="S13" s="6">
        <f>IF(OR(C13="",J13="",O13=""),"",C13+J13-O13)</f>
        <v/>
      </c>
      <c r="T13" s="3" t="n">
        <v>9</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DATE(2025,3,8)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v>16</v>
      </c>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DATE(2025,3,9)</f>
        <v/>
      </c>
      <c r="B15" s="6" t="n">
        <v>9</v>
      </c>
      <c r="C15" s="6">
        <f>Q14</f>
        <v/>
      </c>
      <c r="D15" s="3" t="n"/>
      <c r="E15" s="3" t="n"/>
      <c r="F15" s="3" t="n"/>
      <c r="G15" s="3" t="n"/>
      <c r="H15" s="3" t="n"/>
      <c r="I15" s="3" t="n"/>
      <c r="J15" s="6">
        <f>IF(COUNTA(D15:I15)&gt;0,SUM(D15:I15),IF(K15="", "", K15))</f>
        <v/>
      </c>
      <c r="K15" s="3" t="n">
        <v>2</v>
      </c>
      <c r="L15" s="3" t="n"/>
      <c r="M15" s="4" t="n"/>
      <c r="N15" s="3" t="n"/>
      <c r="O15" s="6">
        <f>IF(COUNTA(L15:N15)&gt;0,SUM(L15:N15),IF(P15="", "", P15))</f>
        <v/>
      </c>
      <c r="P15" s="3" t="n"/>
      <c r="Q15" s="3" t="n"/>
      <c r="R15" s="3" t="n">
        <v>16</v>
      </c>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DATE(2025,3,10)</f>
        <v/>
      </c>
      <c r="B16" s="6" t="n">
        <v>10</v>
      </c>
      <c r="C16" s="6">
        <f>Q15</f>
        <v/>
      </c>
      <c r="D16" s="3" t="n"/>
      <c r="E16" s="3" t="n"/>
      <c r="F16" s="3" t="n"/>
      <c r="G16" s="3" t="n"/>
      <c r="H16" s="3" t="n"/>
      <c r="I16" s="3" t="n"/>
      <c r="J16" s="6">
        <f>IF(COUNTA(D16:I16)&gt;0,SUM(D16:I16),IF(K16="", "", K16))</f>
        <v/>
      </c>
      <c r="K16" s="3" t="n">
        <v>2</v>
      </c>
      <c r="L16" s="3" t="n"/>
      <c r="M16" s="4" t="n"/>
      <c r="N16" s="3" t="n"/>
      <c r="O16" s="6">
        <f>IF(COUNTA(L16:N16)&gt;0,SUM(L16:N16),IF(P16="", "", P16))</f>
        <v/>
      </c>
      <c r="P16" s="3" t="n">
        <v>2</v>
      </c>
      <c r="Q16" s="3" t="n"/>
      <c r="R16" s="3" t="n">
        <v>16</v>
      </c>
      <c r="S16" s="6">
        <f>IF(OR(C16="",J16="",O16=""),"",C16+J16-O16)</f>
        <v/>
      </c>
      <c r="T16" s="3" t="n">
        <v>22</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DATE(2025,3,11)</f>
        <v/>
      </c>
      <c r="B17" s="6" t="n">
        <v>11</v>
      </c>
      <c r="C17" s="6">
        <f>Q16</f>
        <v/>
      </c>
      <c r="D17" s="3" t="n"/>
      <c r="E17" s="3" t="n"/>
      <c r="F17" s="3" t="n"/>
      <c r="G17" s="3" t="n"/>
      <c r="H17" s="3" t="n"/>
      <c r="I17" s="3" t="n"/>
      <c r="J17" s="6">
        <f>IF(COUNTA(D17:I17)&gt;0,SUM(D17:I17),IF(K17="", "", K17))</f>
        <v/>
      </c>
      <c r="K17" s="3" t="n">
        <v>2</v>
      </c>
      <c r="L17" s="3" t="n"/>
      <c r="M17" s="4" t="n"/>
      <c r="N17" s="3" t="n"/>
      <c r="O17" s="6">
        <f>IF(COUNTA(L17:N17)&gt;0,SUM(L17:N17),IF(P17="", "", P17))</f>
        <v/>
      </c>
      <c r="P17" s="3" t="n">
        <v>1</v>
      </c>
      <c r="Q17" s="3" t="n"/>
      <c r="R17" s="3" t="n">
        <v>16</v>
      </c>
      <c r="S17" s="6">
        <f>IF(OR(C17="",J17="",O17=""),"",C17+J17-O17)</f>
        <v/>
      </c>
      <c r="T17" s="3" t="n">
        <v>6</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DATE(2025,3,12)</f>
        <v/>
      </c>
      <c r="B18" s="6" t="n">
        <v>12</v>
      </c>
      <c r="C18" s="6">
        <f>Q17</f>
        <v/>
      </c>
      <c r="D18" s="3" t="n"/>
      <c r="E18" s="3" t="n"/>
      <c r="F18" s="3" t="n"/>
      <c r="G18" s="3" t="n"/>
      <c r="H18" s="3" t="n"/>
      <c r="I18" s="3" t="n"/>
      <c r="J18" s="6">
        <f>IF(COUNTA(D18:I18)&gt;0,SUM(D18:I18),IF(K18="", "", K18))</f>
        <v/>
      </c>
      <c r="K18" s="3" t="n">
        <v>3</v>
      </c>
      <c r="L18" s="3" t="n"/>
      <c r="M18" s="4" t="n"/>
      <c r="N18" s="3" t="n"/>
      <c r="O18" s="6">
        <f>IF(COUNTA(L18:N18)&gt;0,SUM(L18:N18),IF(P18="", "", P18))</f>
        <v/>
      </c>
      <c r="P18" s="3" t="n">
        <v>1</v>
      </c>
      <c r="Q18" s="3" t="n"/>
      <c r="R18" s="3" t="n">
        <v>16</v>
      </c>
      <c r="S18" s="6">
        <f>IF(OR(C18="",J18="",O18=""),"",C18+J18-O18)</f>
        <v/>
      </c>
      <c r="T18" s="3" t="n">
        <v>12</v>
      </c>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DATE(2025,3,13)</f>
        <v/>
      </c>
      <c r="B19" s="6" t="n">
        <v>13</v>
      </c>
      <c r="C19" s="6">
        <f>Q18</f>
        <v/>
      </c>
      <c r="D19" s="3" t="n"/>
      <c r="E19" s="3" t="n"/>
      <c r="F19" s="3" t="n"/>
      <c r="G19" s="3" t="n"/>
      <c r="H19" s="3" t="n"/>
      <c r="I19" s="3" t="n"/>
      <c r="J19" s="6">
        <f>IF(COUNTA(D19:I19)&gt;0,SUM(D19:I19),IF(K19="", "", K19))</f>
        <v/>
      </c>
      <c r="K19" s="3" t="n">
        <v>3</v>
      </c>
      <c r="L19" s="3" t="n"/>
      <c r="M19" s="4" t="n"/>
      <c r="N19" s="3" t="n"/>
      <c r="O19" s="6">
        <f>IF(COUNTA(L19:N19)&gt;0,SUM(L19:N19),IF(P19="", "", P19))</f>
        <v/>
      </c>
      <c r="P19" s="3" t="n"/>
      <c r="Q19" s="3" t="n"/>
      <c r="R19" s="3" t="n">
        <v>16</v>
      </c>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DATE(2025,3,14)</f>
        <v/>
      </c>
      <c r="B20" s="6" t="n">
        <v>14</v>
      </c>
      <c r="C20" s="6">
        <f>Q19</f>
        <v/>
      </c>
      <c r="D20" s="3" t="n"/>
      <c r="E20" s="3" t="n"/>
      <c r="F20" s="3" t="n"/>
      <c r="G20" s="3" t="n"/>
      <c r="H20" s="3" t="n"/>
      <c r="I20" s="3" t="n"/>
      <c r="J20" s="6">
        <f>IF(COUNTA(D20:I20)&gt;0,SUM(D20:I20),IF(K20="", "", K20))</f>
        <v/>
      </c>
      <c r="K20" s="3" t="n">
        <v>2</v>
      </c>
      <c r="L20" s="3" t="n"/>
      <c r="M20" s="4" t="n"/>
      <c r="N20" s="3" t="n"/>
      <c r="O20" s="6">
        <f>IF(COUNTA(L20:N20)&gt;0,SUM(L20:N20),IF(P20="", "", P20))</f>
        <v/>
      </c>
      <c r="P20" s="3" t="n">
        <v>5</v>
      </c>
      <c r="Q20" s="3" t="n"/>
      <c r="R20" s="3" t="n">
        <v>16</v>
      </c>
      <c r="S20" s="6">
        <f>IF(OR(C20="",J20="",O20=""),"",C20+J20-O20)</f>
        <v/>
      </c>
      <c r="T20" s="3" t="n">
        <v>31</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DATE(2025,3,15)</f>
        <v/>
      </c>
      <c r="B21" s="6" t="n">
        <v>15</v>
      </c>
      <c r="C21" s="6">
        <f>Q20</f>
        <v/>
      </c>
      <c r="D21" s="3" t="n"/>
      <c r="E21" s="3" t="n"/>
      <c r="F21" s="3" t="n"/>
      <c r="G21" s="3" t="n"/>
      <c r="H21" s="3" t="n"/>
      <c r="I21" s="3" t="n"/>
      <c r="J21" s="6">
        <f>IF(COUNTA(D21:I21)&gt;0,SUM(D21:I21),IF(K21="", "", K21))</f>
        <v/>
      </c>
      <c r="K21" s="3" t="n">
        <v>2</v>
      </c>
      <c r="L21" s="3" t="n"/>
      <c r="M21" s="4" t="n"/>
      <c r="N21" s="3" t="n"/>
      <c r="O21" s="6">
        <f>IF(COUNTA(L21:N21)&gt;0,SUM(L21:N21),IF(P21="", "", P21))</f>
        <v/>
      </c>
      <c r="P21" s="3" t="n"/>
      <c r="Q21" s="3" t="n"/>
      <c r="R21" s="3" t="n">
        <v>16</v>
      </c>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DATE(2025,3,16)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v>1</v>
      </c>
      <c r="Q22" s="3" t="n"/>
      <c r="R22" s="3" t="n">
        <v>16</v>
      </c>
      <c r="S22" s="6">
        <f>IF(OR(C22="",J22="",O22=""),"",C22+J22-O22)</f>
        <v/>
      </c>
      <c r="T22" s="3" t="n">
        <v>9</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DATE(2025,3,17)</f>
        <v/>
      </c>
      <c r="B23" s="6" t="n">
        <v>17</v>
      </c>
      <c r="C23" s="6">
        <f>Q22</f>
        <v/>
      </c>
      <c r="D23" s="3" t="n"/>
      <c r="E23" s="3" t="n"/>
      <c r="F23" s="3" t="n"/>
      <c r="G23" s="3" t="n"/>
      <c r="H23" s="3" t="n"/>
      <c r="I23" s="3" t="n"/>
      <c r="J23" s="6">
        <f>IF(COUNTA(D23:I23)&gt;0,SUM(D23:I23),IF(K23="", "", K23))</f>
        <v/>
      </c>
      <c r="K23" s="3" t="n">
        <v>2</v>
      </c>
      <c r="L23" s="3" t="n"/>
      <c r="M23" s="4" t="n"/>
      <c r="N23" s="3" t="n"/>
      <c r="O23" s="6">
        <f>IF(COUNTA(L23:N23)&gt;0,SUM(L23:N23),IF(P23="", "", P23))</f>
        <v/>
      </c>
      <c r="P23" s="3" t="n">
        <v>2</v>
      </c>
      <c r="Q23" s="3" t="n"/>
      <c r="R23" s="3" t="n">
        <v>16</v>
      </c>
      <c r="S23" s="6">
        <f>IF(OR(C23="",J23="",O23=""),"",C23+J23-O23)</f>
        <v/>
      </c>
      <c r="T23" s="3" t="n">
        <v>14</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DATE(2025,3,18)</f>
        <v/>
      </c>
      <c r="B24" s="6" t="n">
        <v>18</v>
      </c>
      <c r="C24" s="6">
        <f>Q23</f>
        <v/>
      </c>
      <c r="D24" s="3" t="n"/>
      <c r="E24" s="3" t="n"/>
      <c r="F24" s="3" t="n"/>
      <c r="G24" s="3" t="n"/>
      <c r="H24" s="3" t="n"/>
      <c r="I24" s="3" t="n"/>
      <c r="J24" s="6">
        <f>IF(COUNTA(D24:I24)&gt;0,SUM(D24:I24),IF(K24="", "", K24))</f>
        <v/>
      </c>
      <c r="K24" s="3" t="n">
        <v>2</v>
      </c>
      <c r="L24" s="3" t="n"/>
      <c r="M24" s="4" t="n"/>
      <c r="N24" s="3" t="n"/>
      <c r="O24" s="6">
        <f>IF(COUNTA(L24:N24)&gt;0,SUM(L24:N24),IF(P24="", "", P24))</f>
        <v/>
      </c>
      <c r="P24" s="3" t="n">
        <v>4</v>
      </c>
      <c r="Q24" s="3" t="n"/>
      <c r="R24" s="3" t="n">
        <v>16</v>
      </c>
      <c r="S24" s="6">
        <f>IF(OR(C24="",J24="",O24=""),"",C24+J24-O24)</f>
        <v/>
      </c>
      <c r="T24" s="3" t="n">
        <v>26</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DATE(2025,3,19)</f>
        <v/>
      </c>
      <c r="B25" s="6" t="n">
        <v>19</v>
      </c>
      <c r="C25" s="6">
        <f>Q24</f>
        <v/>
      </c>
      <c r="D25" s="3" t="n"/>
      <c r="E25" s="3" t="n"/>
      <c r="F25" s="3" t="n"/>
      <c r="G25" s="3" t="n"/>
      <c r="H25" s="3" t="n"/>
      <c r="I25" s="3" t="n"/>
      <c r="J25" s="6">
        <f>IF(COUNTA(D25:I25)&gt;0,SUM(D25:I25),IF(K25="", "", K25))</f>
        <v/>
      </c>
      <c r="K25" s="3" t="n">
        <v>3</v>
      </c>
      <c r="L25" s="3" t="n"/>
      <c r="M25" s="4" t="n"/>
      <c r="N25" s="3" t="n"/>
      <c r="O25" s="6">
        <f>IF(COUNTA(L25:N25)&gt;0,SUM(L25:N25),IF(P25="", "", P25))</f>
        <v/>
      </c>
      <c r="P25" s="3" t="n"/>
      <c r="Q25" s="3" t="n"/>
      <c r="R25" s="3" t="n">
        <v>16</v>
      </c>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DATE(2025,3,20)</f>
        <v/>
      </c>
      <c r="B26" s="6" t="n">
        <v>20</v>
      </c>
      <c r="C26" s="6">
        <f>Q25</f>
        <v/>
      </c>
      <c r="D26" s="3" t="n"/>
      <c r="E26" s="3" t="n"/>
      <c r="F26" s="3" t="n"/>
      <c r="G26" s="3" t="n"/>
      <c r="H26" s="3" t="n"/>
      <c r="I26" s="3" t="n"/>
      <c r="J26" s="6">
        <f>IF(COUNTA(D26:I26)&gt;0,SUM(D26:I26),IF(K26="", "", K26))</f>
        <v/>
      </c>
      <c r="K26" s="3" t="n">
        <v>3</v>
      </c>
      <c r="L26" s="3" t="n"/>
      <c r="M26" s="4" t="n"/>
      <c r="N26" s="3" t="n"/>
      <c r="O26" s="6">
        <f>IF(COUNTA(L26:N26)&gt;0,SUM(L26:N26),IF(P26="", "", P26))</f>
        <v/>
      </c>
      <c r="P26" s="3" t="n">
        <v>2</v>
      </c>
      <c r="Q26" s="3" t="n"/>
      <c r="R26" s="3" t="n">
        <v>16</v>
      </c>
      <c r="S26" s="6">
        <f>IF(OR(C26="",J26="",O26=""),"",C26+J26-O26)</f>
        <v/>
      </c>
      <c r="T26" s="3" t="n">
        <v>18</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DATE(2025,3,21)</f>
        <v/>
      </c>
      <c r="B27" s="6" t="n">
        <v>21</v>
      </c>
      <c r="C27" s="6">
        <f>Q26</f>
        <v/>
      </c>
      <c r="D27" s="3" t="n"/>
      <c r="E27" s="3" t="n"/>
      <c r="F27" s="3" t="n"/>
      <c r="G27" s="3" t="n"/>
      <c r="H27" s="3" t="n"/>
      <c r="I27" s="3" t="n"/>
      <c r="J27" s="6">
        <f>IF(COUNTA(D27:I27)&gt;0,SUM(D27:I27),IF(K27="", "", K27))</f>
        <v/>
      </c>
      <c r="K27" s="3" t="n">
        <v>1</v>
      </c>
      <c r="L27" s="3" t="n"/>
      <c r="M27" s="4" t="n"/>
      <c r="N27" s="3" t="n"/>
      <c r="O27" s="6">
        <f>IF(COUNTA(L27:N27)&gt;0,SUM(L27:N27),IF(P27="", "", P27))</f>
        <v/>
      </c>
      <c r="P27" s="3" t="n">
        <v>2</v>
      </c>
      <c r="Q27" s="3" t="n"/>
      <c r="R27" s="3" t="n">
        <v>16</v>
      </c>
      <c r="S27" s="6">
        <f>IF(OR(C27="",J27="",O27=""),"",C27+J27-O27)</f>
        <v/>
      </c>
      <c r="T27" s="3" t="n">
        <v>16</v>
      </c>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DATE(2025,3,22)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v>16</v>
      </c>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DATE(2025,3,23)</f>
        <v/>
      </c>
      <c r="B29" s="6" t="n">
        <v>23</v>
      </c>
      <c r="C29" s="6">
        <f>Q28</f>
        <v/>
      </c>
      <c r="D29" s="3" t="n"/>
      <c r="E29" s="3" t="n"/>
      <c r="F29" s="3" t="n"/>
      <c r="G29" s="3" t="n"/>
      <c r="H29" s="3" t="n"/>
      <c r="I29" s="3" t="n"/>
      <c r="J29" s="6">
        <f>IF(COUNTA(D29:I29)&gt;0,SUM(D29:I29),IF(K29="", "", K29))</f>
        <v/>
      </c>
      <c r="K29" s="3" t="n">
        <v>1</v>
      </c>
      <c r="L29" s="3" t="n"/>
      <c r="M29" s="4" t="n"/>
      <c r="N29" s="3" t="n"/>
      <c r="O29" s="6">
        <f>IF(COUNTA(L29:N29)&gt;0,SUM(L29:N29),IF(P29="", "", P29))</f>
        <v/>
      </c>
      <c r="P29" s="3" t="n">
        <v>1</v>
      </c>
      <c r="Q29" s="3" t="n"/>
      <c r="R29" s="3" t="n">
        <v>16</v>
      </c>
      <c r="S29" s="6">
        <f>IF(OR(C29="",J29="",O29=""),"",C29+J29-O29)</f>
        <v/>
      </c>
      <c r="T29" s="3" t="n">
        <v>4</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DATE(2025,3,24)</f>
        <v/>
      </c>
      <c r="B30" s="6" t="n">
        <v>24</v>
      </c>
      <c r="C30" s="6">
        <f>Q29</f>
        <v/>
      </c>
      <c r="D30" s="3" t="n"/>
      <c r="E30" s="3" t="n"/>
      <c r="F30" s="3" t="n"/>
      <c r="G30" s="3" t="n"/>
      <c r="H30" s="3" t="n"/>
      <c r="I30" s="3" t="n"/>
      <c r="J30" s="6">
        <f>IF(COUNTA(D30:I30)&gt;0,SUM(D30:I30),IF(K30="", "", K30))</f>
        <v/>
      </c>
      <c r="K30" s="3" t="n">
        <v>2</v>
      </c>
      <c r="L30" s="3" t="n"/>
      <c r="M30" s="4" t="n"/>
      <c r="N30" s="3" t="n"/>
      <c r="O30" s="6">
        <f>IF(COUNTA(L30:N30)&gt;0,SUM(L30:N30),IF(P30="", "", P30))</f>
        <v/>
      </c>
      <c r="P30" s="3" t="n">
        <v>3</v>
      </c>
      <c r="Q30" s="3" t="n"/>
      <c r="R30" s="3" t="n">
        <v>16</v>
      </c>
      <c r="S30" s="6">
        <f>IF(OR(C30="",J30="",O30=""),"",C30+J30-O30)</f>
        <v/>
      </c>
      <c r="T30" s="3" t="n">
        <v>30</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DATE(2025,3,25)</f>
        <v/>
      </c>
      <c r="B31" s="6" t="n">
        <v>25</v>
      </c>
      <c r="C31" s="6">
        <f>Q30</f>
        <v/>
      </c>
      <c r="D31" s="3" t="n"/>
      <c r="E31" s="3" t="n"/>
      <c r="F31" s="3" t="n"/>
      <c r="G31" s="3" t="n"/>
      <c r="H31" s="3" t="n"/>
      <c r="I31" s="3" t="n"/>
      <c r="J31" s="6">
        <f>IF(COUNTA(D31:I31)&gt;0,SUM(D31:I31),IF(K31="", "", K31))</f>
        <v/>
      </c>
      <c r="K31" s="3" t="n">
        <v>2</v>
      </c>
      <c r="L31" s="3" t="n"/>
      <c r="M31" s="4" t="n"/>
      <c r="N31" s="3" t="n"/>
      <c r="O31" s="6">
        <f>IF(COUNTA(L31:N31)&gt;0,SUM(L31:N31),IF(P31="", "", P31))</f>
        <v/>
      </c>
      <c r="P31" s="3" t="n">
        <v>2</v>
      </c>
      <c r="Q31" s="3" t="n"/>
      <c r="R31" s="3" t="n">
        <v>16</v>
      </c>
      <c r="S31" s="6">
        <f>IF(OR(C31="",J31="",O31=""),"",C31+J31-O31)</f>
        <v/>
      </c>
      <c r="T31" s="3" t="n">
        <v>13</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DATE(2025,3,26)</f>
        <v/>
      </c>
      <c r="B32" s="6" t="n">
        <v>26</v>
      </c>
      <c r="C32" s="6">
        <f>Q31</f>
        <v/>
      </c>
      <c r="D32" s="3" t="n"/>
      <c r="E32" s="3" t="n"/>
      <c r="F32" s="3" t="n"/>
      <c r="G32" s="3" t="n"/>
      <c r="H32" s="3" t="n"/>
      <c r="I32" s="3" t="n"/>
      <c r="J32" s="6">
        <f>IF(COUNTA(D32:I32)&gt;0,SUM(D32:I32),IF(K32="", "", K32))</f>
        <v/>
      </c>
      <c r="K32" s="3" t="n">
        <v>2</v>
      </c>
      <c r="L32" s="3" t="n"/>
      <c r="M32" s="4" t="n"/>
      <c r="N32" s="3" t="n"/>
      <c r="O32" s="6">
        <f>IF(COUNTA(L32:N32)&gt;0,SUM(L32:N32),IF(P32="", "", P32))</f>
        <v/>
      </c>
      <c r="P32" s="3" t="n">
        <v>2</v>
      </c>
      <c r="Q32" s="3" t="n"/>
      <c r="R32" s="3" t="n">
        <v>16</v>
      </c>
      <c r="S32" s="6">
        <f>IF(OR(C32="",J32="",O32=""),"",C32+J32-O32)</f>
        <v/>
      </c>
      <c r="T32" s="3" t="n">
        <v>11</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DATE(2025,3,27)</f>
        <v/>
      </c>
      <c r="B33" s="6" t="n">
        <v>27</v>
      </c>
      <c r="C33" s="6">
        <f>Q32</f>
        <v/>
      </c>
      <c r="D33" s="3" t="n"/>
      <c r="E33" s="3" t="n"/>
      <c r="F33" s="3" t="n"/>
      <c r="G33" s="3" t="n"/>
      <c r="H33" s="3" t="n"/>
      <c r="I33" s="3" t="n"/>
      <c r="J33" s="6">
        <f>IF(COUNTA(D33:I33)&gt;0,SUM(D33:I33),IF(K33="", "", K33))</f>
        <v/>
      </c>
      <c r="K33" s="3" t="n">
        <v>1</v>
      </c>
      <c r="L33" s="3" t="n"/>
      <c r="M33" s="4" t="n"/>
      <c r="N33" s="3" t="n"/>
      <c r="O33" s="6">
        <f>IF(COUNTA(L33:N33)&gt;0,SUM(L33:N33),IF(P33="", "", P33))</f>
        <v/>
      </c>
      <c r="P33" s="3" t="n">
        <v>1</v>
      </c>
      <c r="Q33" s="3" t="n"/>
      <c r="R33" s="3" t="n">
        <v>16</v>
      </c>
      <c r="S33" s="6">
        <f>IF(OR(C33="",J33="",O33=""),"",C33+J33-O33)</f>
        <v/>
      </c>
      <c r="T33" s="3" t="n">
        <v>14</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DATE(2025,3,28)</f>
        <v/>
      </c>
      <c r="B34" s="6" t="n">
        <v>28</v>
      </c>
      <c r="C34" s="6">
        <f>Q33</f>
        <v/>
      </c>
      <c r="D34" s="3" t="n"/>
      <c r="E34" s="3" t="n"/>
      <c r="F34" s="3" t="n"/>
      <c r="G34" s="3" t="n"/>
      <c r="H34" s="3" t="n"/>
      <c r="I34" s="3" t="n"/>
      <c r="J34" s="6">
        <f>IF(COUNTA(D34:I34)&gt;0,SUM(D34:I34),IF(K34="", "", K34))</f>
        <v/>
      </c>
      <c r="K34" s="3" t="n">
        <v>3</v>
      </c>
      <c r="L34" s="3" t="n"/>
      <c r="M34" s="4" t="n"/>
      <c r="N34" s="3" t="n"/>
      <c r="O34" s="6">
        <f>IF(COUNTA(L34:N34)&gt;0,SUM(L34:N34),IF(P34="", "", P34))</f>
        <v/>
      </c>
      <c r="P34" s="3" t="n">
        <v>4</v>
      </c>
      <c r="Q34" s="3" t="n"/>
      <c r="R34" s="3" t="n">
        <v>16</v>
      </c>
      <c r="S34" s="6">
        <f>IF(OR(C34="",J34="",O34=""),"",C34+J34-O34)</f>
        <v/>
      </c>
      <c r="T34" s="3" t="n">
        <v>32</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DATE(2025,3,29)</f>
        <v/>
      </c>
      <c r="B35" s="6" t="n">
        <v>29</v>
      </c>
      <c r="C35" s="6">
        <f>Q34</f>
        <v/>
      </c>
      <c r="D35" s="3" t="n"/>
      <c r="E35" s="3" t="n"/>
      <c r="F35" s="3" t="n"/>
      <c r="G35" s="3" t="n"/>
      <c r="H35" s="3" t="n"/>
      <c r="I35" s="3" t="n"/>
      <c r="J35" s="6">
        <f>IF(COUNTA(D35:I35)&gt;0,SUM(D35:I35),IF(K35="", "", K35))</f>
        <v/>
      </c>
      <c r="K35" s="3" t="n">
        <v>1</v>
      </c>
      <c r="L35" s="3" t="n"/>
      <c r="M35" s="4" t="n"/>
      <c r="N35" s="3" t="n"/>
      <c r="O35" s="6">
        <f>IF(COUNTA(L35:N35)&gt;0,SUM(L35:N35),IF(P35="", "", P35))</f>
        <v/>
      </c>
      <c r="P35" s="3" t="n"/>
      <c r="Q35" s="3" t="n"/>
      <c r="R35" s="3" t="n">
        <v>16</v>
      </c>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DATE(2025,3,30)</f>
        <v/>
      </c>
      <c r="B36" s="6" t="n">
        <v>30</v>
      </c>
      <c r="C36" s="6">
        <f>Q35</f>
        <v/>
      </c>
      <c r="D36" s="3" t="n"/>
      <c r="E36" s="3" t="n"/>
      <c r="F36" s="3" t="n"/>
      <c r="G36" s="3" t="n"/>
      <c r="H36" s="3" t="n"/>
      <c r="I36" s="3" t="n"/>
      <c r="J36" s="6">
        <f>IF(COUNTA(D36:I36)&gt;0,SUM(D36:I36),IF(K36="", "", K36))</f>
        <v/>
      </c>
      <c r="K36" s="3" t="n">
        <v>1</v>
      </c>
      <c r="L36" s="3" t="n"/>
      <c r="M36" s="4" t="n"/>
      <c r="N36" s="3" t="n"/>
      <c r="O36" s="6">
        <f>IF(COUNTA(L36:N36)&gt;0,SUM(L36:N36),IF(P36="", "", P36))</f>
        <v/>
      </c>
      <c r="P36" s="3" t="n">
        <v>1</v>
      </c>
      <c r="Q36" s="3" t="n"/>
      <c r="R36" s="3" t="n">
        <v>16</v>
      </c>
      <c r="S36" s="6">
        <f>IF(OR(C36="",J36="",O36=""),"",C36+J36-O36)</f>
        <v/>
      </c>
      <c r="T36" s="3" t="n">
        <v>7</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DATE(2025,3,31)</f>
        <v/>
      </c>
      <c r="B37" s="6" t="n">
        <v>31</v>
      </c>
      <c r="C37" s="6">
        <f>Q36</f>
        <v/>
      </c>
      <c r="D37" s="3" t="n"/>
      <c r="E37" s="3" t="n"/>
      <c r="F37" s="3" t="n"/>
      <c r="G37" s="3" t="n"/>
      <c r="H37" s="3" t="n"/>
      <c r="I37" s="3" t="n"/>
      <c r="J37" s="6">
        <f>IF(COUNTA(D37:I37)&gt;0,SUM(D37:I37),IF(K37="", "", K37))</f>
        <v/>
      </c>
      <c r="K37" s="3" t="n">
        <v>1</v>
      </c>
      <c r="L37" s="3" t="n"/>
      <c r="M37" s="4" t="n"/>
      <c r="N37" s="3" t="n"/>
      <c r="O37" s="6">
        <f>IF(COUNTA(L37:N37)&gt;0,SUM(L37:N37),IF(P37="", "", P37))</f>
        <v/>
      </c>
      <c r="P37" s="3" t="n">
        <v>2</v>
      </c>
      <c r="Q37" s="3" t="n"/>
      <c r="R37" s="3" t="n">
        <v>16</v>
      </c>
      <c r="S37" s="6">
        <f>IF(OR(C37="",J37="",O37=""),"",C37+J37-O37)</f>
        <v/>
      </c>
      <c r="T37" s="3" t="n">
        <v>13</v>
      </c>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ABRIL 2025</t>
        </is>
      </c>
    </row>
    <row r="2">
      <c r="A2" s="2" t="inlineStr">
        <is>
          <t>Servicio</t>
        </is>
      </c>
      <c r="B2" s="6">
        <f>01_PARAMETROS!B3</f>
        <v/>
      </c>
      <c r="C2" s="2" t="inlineStr">
        <is>
          <t>Codigo</t>
        </is>
      </c>
      <c r="D2" s="6">
        <f>01_PARAMETROS!B4</f>
        <v/>
      </c>
      <c r="E2" s="2" t="inlineStr">
        <is>
          <t>Mes</t>
        </is>
      </c>
      <c r="F2" s="3" t="inlineStr">
        <is>
          <t>ABRIL</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DATE(2025,4,1)</f>
        <v/>
      </c>
      <c r="B7" s="6" t="n">
        <v>1</v>
      </c>
      <c r="C7" s="3" t="n">
        <v>12</v>
      </c>
      <c r="D7" s="3" t="n"/>
      <c r="E7" s="3" t="n"/>
      <c r="F7" s="3" t="n"/>
      <c r="G7" s="3" t="n"/>
      <c r="H7" s="3" t="n"/>
      <c r="I7" s="3" t="n"/>
      <c r="J7" s="6">
        <f>IF(COUNTA(D7:I7)&gt;0,SUM(D7:I7),IF(K7="", "", K7))</f>
        <v/>
      </c>
      <c r="K7" s="3" t="n">
        <v>3</v>
      </c>
      <c r="L7" s="3" t="n"/>
      <c r="M7" s="4" t="n"/>
      <c r="N7" s="3" t="n"/>
      <c r="O7" s="6">
        <f>IF(COUNTA(L7:N7)&gt;0,SUM(L7:N7),IF(P7="", "", P7))</f>
        <v/>
      </c>
      <c r="P7" s="3" t="n">
        <v>5</v>
      </c>
      <c r="Q7" s="3" t="n"/>
      <c r="R7" s="3" t="n">
        <v>16</v>
      </c>
      <c r="S7" s="6">
        <f>IF(OR(C7="",J7="",O7=""),"",C7+J7-O7)</f>
        <v/>
      </c>
      <c r="T7" s="3" t="n">
        <v>53</v>
      </c>
      <c r="U7" s="3" t="n"/>
      <c r="V7" s="3" t="n"/>
      <c r="W7" s="6">
        <f>IF(Z7=1,"FALTAN DATOS",IF(S7&lt;0,"OCUPACION NEGATIVA",IF(X7=1,"SOBREOCUPACION",IF(Y7&lt;&gt;0,"BALANCE RARO","OK"))))</f>
        <v/>
      </c>
      <c r="X7" s="6">
        <f>IF(AND(R7&lt;&gt;"",S7&gt;R7),1,0)</f>
        <v/>
      </c>
      <c r="Y7" s="6">
        <f>IF(OR(C7="",J7="",O7="",S7=""),"",C7+J7-O7-S7)</f>
        <v/>
      </c>
      <c r="Z7" s="6">
        <f>IF(OR(R7="",A7="",B7="",C7="",J7="",O7=""),1,0)</f>
        <v/>
      </c>
    </row>
    <row r="8">
      <c r="A8" s="6">
        <f>DATE(2025,4,2)</f>
        <v/>
      </c>
      <c r="B8" s="6" t="n">
        <v>2</v>
      </c>
      <c r="C8" s="6">
        <f>Q7</f>
        <v/>
      </c>
      <c r="D8" s="3" t="n"/>
      <c r="E8" s="3" t="n"/>
      <c r="F8" s="3" t="n"/>
      <c r="G8" s="3" t="n"/>
      <c r="H8" s="3" t="n"/>
      <c r="I8" s="3" t="n"/>
      <c r="J8" s="6">
        <f>IF(COUNTA(D8:I8)&gt;0,SUM(D8:I8),IF(K8="", "", K8))</f>
        <v/>
      </c>
      <c r="K8" s="3" t="n">
        <v>4</v>
      </c>
      <c r="L8" s="3" t="n"/>
      <c r="M8" s="4" t="n"/>
      <c r="N8" s="3" t="n"/>
      <c r="O8" s="6">
        <f>IF(COUNTA(L8:N8)&gt;0,SUM(L8:N8),IF(P8="", "", P8))</f>
        <v/>
      </c>
      <c r="P8" s="3" t="n">
        <v>1</v>
      </c>
      <c r="Q8" s="3" t="n"/>
      <c r="R8" s="3" t="n">
        <v>16</v>
      </c>
      <c r="S8" s="6">
        <f>IF(OR(C8="",J8="",O8=""),"",C8+J8-O8)</f>
        <v/>
      </c>
      <c r="T8" s="3" t="n">
        <v>7</v>
      </c>
      <c r="U8" s="3" t="n"/>
      <c r="V8" s="3" t="n"/>
      <c r="W8" s="6">
        <f>IF(Z8=1,"FALTAN DATOS",IF(S8&lt;0,"OCUPACION NEGATIVA",IF(X8=1,"SOBREOCUPACION",IF(Y8&lt;&gt;0,"BALANCE RARO","OK"))))</f>
        <v/>
      </c>
      <c r="X8" s="6">
        <f>IF(AND(R8&lt;&gt;"",S8&gt;R8),1,0)</f>
        <v/>
      </c>
      <c r="Y8" s="6">
        <f>IF(OR(C8="",J8="",O8="",S8=""),"",C8+J8-O8-S8)</f>
        <v/>
      </c>
      <c r="Z8" s="6">
        <f>IF(OR(R8="",A8="",B8="",C8="",J8="",O8=""),1,0)</f>
        <v/>
      </c>
    </row>
    <row r="9">
      <c r="A9" s="6">
        <f>DATE(2025,4,3)</f>
        <v/>
      </c>
      <c r="B9" s="6" t="n">
        <v>3</v>
      </c>
      <c r="C9" s="6">
        <f>Q8</f>
        <v/>
      </c>
      <c r="D9" s="3" t="n"/>
      <c r="E9" s="3" t="n"/>
      <c r="F9" s="3" t="n"/>
      <c r="G9" s="3" t="n"/>
      <c r="H9" s="3" t="n"/>
      <c r="I9" s="3" t="n"/>
      <c r="J9" s="6">
        <f>IF(COUNTA(D9:I9)&gt;0,SUM(D9:I9),IF(K9="", "", K9))</f>
        <v/>
      </c>
      <c r="K9" s="3" t="n">
        <v>3</v>
      </c>
      <c r="L9" s="3" t="n"/>
      <c r="M9" s="4" t="n"/>
      <c r="N9" s="3" t="n"/>
      <c r="O9" s="6">
        <f>IF(COUNTA(L9:N9)&gt;0,SUM(L9:N9),IF(P9="", "", P9))</f>
        <v/>
      </c>
      <c r="P9" s="3" t="n">
        <v>2</v>
      </c>
      <c r="Q9" s="3" t="n"/>
      <c r="R9" s="3" t="n">
        <v>16</v>
      </c>
      <c r="S9" s="6">
        <f>IF(OR(C9="",J9="",O9=""),"",C9+J9-O9)</f>
        <v/>
      </c>
      <c r="T9" s="3" t="n">
        <v>5</v>
      </c>
      <c r="U9" s="3" t="n"/>
      <c r="V9" s="3" t="n"/>
      <c r="W9" s="6">
        <f>IF(Z9=1,"FALTAN DATOS",IF(S9&lt;0,"OCUPACION NEGATIVA",IF(X9=1,"SOBREOCUPACION",IF(Y9&lt;&gt;0,"BALANCE RARO","OK"))))</f>
        <v/>
      </c>
      <c r="X9" s="6">
        <f>IF(AND(R9&lt;&gt;"",S9&gt;R9),1,0)</f>
        <v/>
      </c>
      <c r="Y9" s="6">
        <f>IF(OR(C9="",J9="",O9="",S9=""),"",C9+J9-O9-S9)</f>
        <v/>
      </c>
      <c r="Z9" s="6">
        <f>IF(OR(R9="",A9="",B9="",C9="",J9="",O9=""),1,0)</f>
        <v/>
      </c>
    </row>
    <row r="10">
      <c r="A10" s="6">
        <f>DATE(2025,4,4)</f>
        <v/>
      </c>
      <c r="B10" s="6" t="n">
        <v>4</v>
      </c>
      <c r="C10" s="6">
        <f>Q9</f>
        <v/>
      </c>
      <c r="D10" s="3" t="n"/>
      <c r="E10" s="3" t="n"/>
      <c r="F10" s="3" t="n"/>
      <c r="G10" s="3" t="n"/>
      <c r="H10" s="3" t="n"/>
      <c r="I10" s="3" t="n"/>
      <c r="J10" s="6">
        <f>IF(COUNTA(D10:I10)&gt;0,SUM(D10:I10),IF(K10="", "", K10))</f>
        <v/>
      </c>
      <c r="K10" s="3" t="n">
        <v>2</v>
      </c>
      <c r="L10" s="3" t="n"/>
      <c r="M10" s="4" t="n"/>
      <c r="N10" s="3" t="n"/>
      <c r="O10" s="6">
        <f>IF(COUNTA(L10:N10)&gt;0,SUM(L10:N10),IF(P10="", "", P10))</f>
        <v/>
      </c>
      <c r="P10" s="3" t="n">
        <v>1</v>
      </c>
      <c r="Q10" s="3" t="n"/>
      <c r="R10" s="3" t="n">
        <v>16</v>
      </c>
      <c r="S10" s="6">
        <f>IF(OR(C10="",J10="",O10=""),"",C10+J10-O10)</f>
        <v/>
      </c>
      <c r="T10" s="3" t="n">
        <v>9</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DATE(2025,4,5)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v>2</v>
      </c>
      <c r="Q11" s="3" t="n"/>
      <c r="R11" s="3" t="n">
        <v>16</v>
      </c>
      <c r="S11" s="6">
        <f>IF(OR(C11="",J11="",O11=""),"",C11+J11-O11)</f>
        <v/>
      </c>
      <c r="T11" s="3" t="n">
        <v>12</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DATE(2025,4,6)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v>16</v>
      </c>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DATE(2025,4,7)</f>
        <v/>
      </c>
      <c r="B13" s="6" t="n">
        <v>7</v>
      </c>
      <c r="C13" s="6">
        <f>Q12</f>
        <v/>
      </c>
      <c r="D13" s="3" t="n"/>
      <c r="E13" s="3" t="n"/>
      <c r="F13" s="3" t="n"/>
      <c r="G13" s="3" t="n"/>
      <c r="H13" s="3" t="n"/>
      <c r="I13" s="3" t="n"/>
      <c r="J13" s="6">
        <f>IF(COUNTA(D13:I13)&gt;0,SUM(D13:I13),IF(K13="", "", K13))</f>
        <v/>
      </c>
      <c r="K13" s="3" t="n">
        <v>3</v>
      </c>
      <c r="L13" s="3" t="n"/>
      <c r="M13" s="4" t="n"/>
      <c r="N13" s="3" t="n"/>
      <c r="O13" s="6">
        <f>IF(COUNTA(L13:N13)&gt;0,SUM(L13:N13),IF(P13="", "", P13))</f>
        <v/>
      </c>
      <c r="P13" s="3" t="n">
        <v>4</v>
      </c>
      <c r="Q13" s="3" t="n"/>
      <c r="R13" s="3" t="n">
        <v>16</v>
      </c>
      <c r="S13" s="6">
        <f>IF(OR(C13="",J13="",O13=""),"",C13+J13-O13)</f>
        <v/>
      </c>
      <c r="T13" s="3" t="n">
        <v>22</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DATE(2025,4,8)</f>
        <v/>
      </c>
      <c r="B14" s="6" t="n">
        <v>8</v>
      </c>
      <c r="C14" s="6">
        <f>Q13</f>
        <v/>
      </c>
      <c r="D14" s="3" t="n"/>
      <c r="E14" s="3" t="n"/>
      <c r="F14" s="3" t="n"/>
      <c r="G14" s="3" t="n"/>
      <c r="H14" s="3" t="n"/>
      <c r="I14" s="3" t="n"/>
      <c r="J14" s="6">
        <f>IF(COUNTA(D14:I14)&gt;0,SUM(D14:I14),IF(K14="", "", K14))</f>
        <v/>
      </c>
      <c r="K14" s="3" t="n">
        <v>2</v>
      </c>
      <c r="L14" s="3" t="n"/>
      <c r="M14" s="4" t="n"/>
      <c r="N14" s="3" t="n"/>
      <c r="O14" s="6">
        <f>IF(COUNTA(L14:N14)&gt;0,SUM(L14:N14),IF(P14="", "", P14))</f>
        <v/>
      </c>
      <c r="P14" s="3" t="n">
        <v>2</v>
      </c>
      <c r="Q14" s="3" t="n"/>
      <c r="R14" s="3" t="n">
        <v>16</v>
      </c>
      <c r="S14" s="6">
        <f>IF(OR(C14="",J14="",O14=""),"",C14+J14-O14)</f>
        <v/>
      </c>
      <c r="T14" s="3" t="n">
        <v>17</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DATE(2025,4,9)</f>
        <v/>
      </c>
      <c r="B15" s="6" t="n">
        <v>9</v>
      </c>
      <c r="C15" s="6">
        <f>Q14</f>
        <v/>
      </c>
      <c r="D15" s="3" t="n"/>
      <c r="E15" s="3" t="n"/>
      <c r="F15" s="3" t="n"/>
      <c r="G15" s="3" t="n"/>
      <c r="H15" s="3" t="n"/>
      <c r="I15" s="3" t="n"/>
      <c r="J15" s="6">
        <f>IF(COUNTA(D15:I15)&gt;0,SUM(D15:I15),IF(K15="", "", K15))</f>
        <v/>
      </c>
      <c r="K15" s="3" t="n">
        <v>2</v>
      </c>
      <c r="L15" s="3" t="n"/>
      <c r="M15" s="4" t="n"/>
      <c r="N15" s="3" t="n"/>
      <c r="O15" s="6">
        <f>IF(COUNTA(L15:N15)&gt;0,SUM(L15:N15),IF(P15="", "", P15))</f>
        <v/>
      </c>
      <c r="P15" s="3" t="n">
        <v>2</v>
      </c>
      <c r="Q15" s="3" t="n"/>
      <c r="R15" s="3" t="n">
        <v>16</v>
      </c>
      <c r="S15" s="6">
        <f>IF(OR(C15="",J15="",O15=""),"",C15+J15-O15)</f>
        <v/>
      </c>
      <c r="T15" s="3" t="n">
        <v>16</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DATE(2025,4,10)</f>
        <v/>
      </c>
      <c r="B16" s="6" t="n">
        <v>10</v>
      </c>
      <c r="C16" s="6">
        <f>Q15</f>
        <v/>
      </c>
      <c r="D16" s="3" t="n"/>
      <c r="E16" s="3" t="n"/>
      <c r="F16" s="3" t="n"/>
      <c r="G16" s="3" t="n"/>
      <c r="H16" s="3" t="n"/>
      <c r="I16" s="3" t="n"/>
      <c r="J16" s="6">
        <f>IF(COUNTA(D16:I16)&gt;0,SUM(D16:I16),IF(K16="", "", K16))</f>
        <v/>
      </c>
      <c r="K16" s="3" t="n">
        <v>3</v>
      </c>
      <c r="L16" s="3" t="n"/>
      <c r="M16" s="4" t="n"/>
      <c r="N16" s="3" t="n"/>
      <c r="O16" s="6">
        <f>IF(COUNTA(L16:N16)&gt;0,SUM(L16:N16),IF(P16="", "", P16))</f>
        <v/>
      </c>
      <c r="P16" s="3" t="n">
        <v>1</v>
      </c>
      <c r="Q16" s="3" t="n"/>
      <c r="R16" s="3" t="n">
        <v>16</v>
      </c>
      <c r="S16" s="6">
        <f>IF(OR(C16="",J16="",O16=""),"",C16+J16-O16)</f>
        <v/>
      </c>
      <c r="T16" s="3" t="n">
        <v>8</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DATE(2025,4,11)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v>16</v>
      </c>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DATE(2025,4,12)</f>
        <v/>
      </c>
      <c r="B18" s="6" t="n">
        <v>12</v>
      </c>
      <c r="C18" s="6">
        <f>Q17</f>
        <v/>
      </c>
      <c r="D18" s="3" t="n"/>
      <c r="E18" s="3" t="n"/>
      <c r="F18" s="3" t="n"/>
      <c r="G18" s="3" t="n"/>
      <c r="H18" s="3" t="n"/>
      <c r="I18" s="3" t="n"/>
      <c r="J18" s="6">
        <f>IF(COUNTA(D18:I18)&gt;0,SUM(D18:I18),IF(K18="", "", K18))</f>
        <v/>
      </c>
      <c r="K18" s="3" t="n">
        <v>1</v>
      </c>
      <c r="L18" s="3" t="n"/>
      <c r="M18" s="4" t="n"/>
      <c r="N18" s="3" t="n"/>
      <c r="O18" s="6">
        <f>IF(COUNTA(L18:N18)&gt;0,SUM(L18:N18),IF(P18="", "", P18))</f>
        <v/>
      </c>
      <c r="P18" s="3" t="n"/>
      <c r="Q18" s="3" t="n"/>
      <c r="R18" s="3" t="n">
        <v>16</v>
      </c>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DATE(2025,4,13)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v>16</v>
      </c>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DATE(2025,4,14)</f>
        <v/>
      </c>
      <c r="B20" s="6" t="n">
        <v>14</v>
      </c>
      <c r="C20" s="6">
        <f>Q19</f>
        <v/>
      </c>
      <c r="D20" s="3" t="n"/>
      <c r="E20" s="3" t="n"/>
      <c r="F20" s="3" t="n"/>
      <c r="G20" s="3" t="n"/>
      <c r="H20" s="3" t="n"/>
      <c r="I20" s="3" t="n"/>
      <c r="J20" s="6">
        <f>IF(COUNTA(D20:I20)&gt;0,SUM(D20:I20),IF(K20="", "", K20))</f>
        <v/>
      </c>
      <c r="K20" s="3" t="n">
        <v>3</v>
      </c>
      <c r="L20" s="3" t="n"/>
      <c r="M20" s="4" t="n"/>
      <c r="N20" s="3" t="n"/>
      <c r="O20" s="6">
        <f>IF(COUNTA(L20:N20)&gt;0,SUM(L20:N20),IF(P20="", "", P20))</f>
        <v/>
      </c>
      <c r="P20" s="3" t="n">
        <v>5</v>
      </c>
      <c r="Q20" s="3" t="n"/>
      <c r="R20" s="3" t="n">
        <v>16</v>
      </c>
      <c r="S20" s="6">
        <f>IF(OR(C20="",J20="",O20=""),"",C20+J20-O20)</f>
        <v/>
      </c>
      <c r="T20" s="3" t="n">
        <v>45</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DATE(2025,4,15)</f>
        <v/>
      </c>
      <c r="B21" s="6" t="n">
        <v>15</v>
      </c>
      <c r="C21" s="6">
        <f>Q20</f>
        <v/>
      </c>
      <c r="D21" s="3" t="n"/>
      <c r="E21" s="3" t="n"/>
      <c r="F21" s="3" t="n"/>
      <c r="G21" s="3" t="n"/>
      <c r="H21" s="3" t="n"/>
      <c r="I21" s="3" t="n"/>
      <c r="J21" s="6">
        <f>IF(COUNTA(D21:I21)&gt;0,SUM(D21:I21),IF(K21="", "", K21))</f>
        <v/>
      </c>
      <c r="K21" s="3" t="n">
        <v>1</v>
      </c>
      <c r="L21" s="3" t="n"/>
      <c r="M21" s="4" t="n"/>
      <c r="N21" s="3" t="n"/>
      <c r="O21" s="6">
        <f>IF(COUNTA(L21:N21)&gt;0,SUM(L21:N21),IF(P21="", "", P21))</f>
        <v/>
      </c>
      <c r="P21" s="3" t="n">
        <v>1</v>
      </c>
      <c r="Q21" s="3" t="n"/>
      <c r="R21" s="3" t="n">
        <v>16</v>
      </c>
      <c r="S21" s="6">
        <f>IF(OR(C21="",J21="",O21=""),"",C21+J21-O21)</f>
        <v/>
      </c>
      <c r="T21" s="3" t="n">
        <v>8</v>
      </c>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DATE(2025,4,16)</f>
        <v/>
      </c>
      <c r="B22" s="6" t="n">
        <v>16</v>
      </c>
      <c r="C22" s="6">
        <f>Q21</f>
        <v/>
      </c>
      <c r="D22" s="3" t="n"/>
      <c r="E22" s="3" t="n"/>
      <c r="F22" s="3" t="n"/>
      <c r="G22" s="3" t="n"/>
      <c r="H22" s="3" t="n"/>
      <c r="I22" s="3" t="n"/>
      <c r="J22" s="6">
        <f>IF(COUNTA(D22:I22)&gt;0,SUM(D22:I22),IF(K22="", "", K22))</f>
        <v/>
      </c>
      <c r="K22" s="3" t="n">
        <v>4</v>
      </c>
      <c r="L22" s="3" t="n"/>
      <c r="M22" s="4" t="n"/>
      <c r="N22" s="3" t="n"/>
      <c r="O22" s="6">
        <f>IF(COUNTA(L22:N22)&gt;0,SUM(L22:N22),IF(P22="", "", P22))</f>
        <v/>
      </c>
      <c r="P22" s="3" t="n">
        <v>1</v>
      </c>
      <c r="Q22" s="3" t="n"/>
      <c r="R22" s="3" t="n">
        <v>16</v>
      </c>
      <c r="S22" s="6">
        <f>IF(OR(C22="",J22="",O22=""),"",C22+J22-O22)</f>
        <v/>
      </c>
      <c r="T22" s="3" t="n">
        <v>8</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DATE(2025,4,17)</f>
        <v/>
      </c>
      <c r="B23" s="6" t="n">
        <v>17</v>
      </c>
      <c r="C23" s="6">
        <f>Q22</f>
        <v/>
      </c>
      <c r="D23" s="3" t="n"/>
      <c r="E23" s="3" t="n"/>
      <c r="F23" s="3" t="n"/>
      <c r="G23" s="3" t="n"/>
      <c r="H23" s="3" t="n"/>
      <c r="I23" s="3" t="n"/>
      <c r="J23" s="6">
        <f>IF(COUNTA(D23:I23)&gt;0,SUM(D23:I23),IF(K23="", "", K23))</f>
        <v/>
      </c>
      <c r="K23" s="3" t="n">
        <v>2</v>
      </c>
      <c r="L23" s="3" t="n"/>
      <c r="M23" s="4" t="n"/>
      <c r="N23" s="3" t="n"/>
      <c r="O23" s="6">
        <f>IF(COUNTA(L23:N23)&gt;0,SUM(L23:N23),IF(P23="", "", P23))</f>
        <v/>
      </c>
      <c r="P23" s="3" t="n">
        <v>1</v>
      </c>
      <c r="Q23" s="3" t="n"/>
      <c r="R23" s="3" t="n">
        <v>16</v>
      </c>
      <c r="S23" s="6">
        <f>IF(OR(C23="",J23="",O23=""),"",C23+J23-O23)</f>
        <v/>
      </c>
      <c r="T23" s="3" t="n">
        <v>10</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DATE(2025,4,18)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v>16</v>
      </c>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DATE(2025,4,19)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v>16</v>
      </c>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DATE(2025,4,20)</f>
        <v/>
      </c>
      <c r="B26" s="6" t="n">
        <v>20</v>
      </c>
      <c r="C26" s="6">
        <f>Q25</f>
        <v/>
      </c>
      <c r="D26" s="3" t="n"/>
      <c r="E26" s="3" t="n"/>
      <c r="F26" s="3" t="n"/>
      <c r="G26" s="3" t="n"/>
      <c r="H26" s="3" t="n"/>
      <c r="I26" s="3" t="n"/>
      <c r="J26" s="6">
        <f>IF(COUNTA(D26:I26)&gt;0,SUM(D26:I26),IF(K26="", "", K26))</f>
        <v/>
      </c>
      <c r="K26" s="3" t="n">
        <v>1</v>
      </c>
      <c r="L26" s="3" t="n"/>
      <c r="M26" s="4" t="n"/>
      <c r="N26" s="3" t="n"/>
      <c r="O26" s="6">
        <f>IF(COUNTA(L26:N26)&gt;0,SUM(L26:N26),IF(P26="", "", P26))</f>
        <v/>
      </c>
      <c r="P26" s="3" t="n">
        <v>1</v>
      </c>
      <c r="Q26" s="3" t="n"/>
      <c r="R26" s="3" t="n">
        <v>16</v>
      </c>
      <c r="S26" s="6">
        <f>IF(OR(C26="",J26="",O26=""),"",C26+J26-O26)</f>
        <v/>
      </c>
      <c r="T26" s="3" t="n">
        <v>11</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DATE(2025,4,21)</f>
        <v/>
      </c>
      <c r="B27" s="6" t="n">
        <v>21</v>
      </c>
      <c r="C27" s="6">
        <f>Q26</f>
        <v/>
      </c>
      <c r="D27" s="3" t="n"/>
      <c r="E27" s="3" t="n"/>
      <c r="F27" s="3" t="n"/>
      <c r="G27" s="3" t="n"/>
      <c r="H27" s="3" t="n"/>
      <c r="I27" s="3" t="n"/>
      <c r="J27" s="6">
        <f>IF(COUNTA(D27:I27)&gt;0,SUM(D27:I27),IF(K27="", "", K27))</f>
        <v/>
      </c>
      <c r="K27" s="3" t="n">
        <v>2</v>
      </c>
      <c r="L27" s="3" t="n"/>
      <c r="M27" s="4" t="n"/>
      <c r="N27" s="3" t="n"/>
      <c r="O27" s="6">
        <f>IF(COUNTA(L27:N27)&gt;0,SUM(L27:N27),IF(P27="", "", P27))</f>
        <v/>
      </c>
      <c r="P27" s="3" t="n">
        <v>3</v>
      </c>
      <c r="Q27" s="3" t="n"/>
      <c r="R27" s="3" t="n">
        <v>16</v>
      </c>
      <c r="S27" s="6">
        <f>IF(OR(C27="",J27="",O27=""),"",C27+J27-O27)</f>
        <v/>
      </c>
      <c r="T27" s="3" t="n">
        <v>24</v>
      </c>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DATE(2025,4,22)</f>
        <v/>
      </c>
      <c r="B28" s="6" t="n">
        <v>22</v>
      </c>
      <c r="C28" s="6">
        <f>Q27</f>
        <v/>
      </c>
      <c r="D28" s="3" t="n"/>
      <c r="E28" s="3" t="n"/>
      <c r="F28" s="3" t="n"/>
      <c r="G28" s="3" t="n"/>
      <c r="H28" s="3" t="n"/>
      <c r="I28" s="3" t="n"/>
      <c r="J28" s="6">
        <f>IF(COUNTA(D28:I28)&gt;0,SUM(D28:I28),IF(K28="", "", K28))</f>
        <v/>
      </c>
      <c r="K28" s="3" t="n">
        <v>2</v>
      </c>
      <c r="L28" s="3" t="n"/>
      <c r="M28" s="4" t="n"/>
      <c r="N28" s="3" t="n"/>
      <c r="O28" s="6">
        <f>IF(COUNTA(L28:N28)&gt;0,SUM(L28:N28),IF(P28="", "", P28))</f>
        <v/>
      </c>
      <c r="P28" s="3" t="n">
        <v>3</v>
      </c>
      <c r="Q28" s="3" t="n"/>
      <c r="R28" s="3" t="n">
        <v>16</v>
      </c>
      <c r="S28" s="6">
        <f>IF(OR(C28="",J28="",O28=""),"",C28+J28-O28)</f>
        <v/>
      </c>
      <c r="T28" s="3" t="n">
        <v>27</v>
      </c>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DATE(2025,4,23)</f>
        <v/>
      </c>
      <c r="B29" s="6" t="n">
        <v>23</v>
      </c>
      <c r="C29" s="6">
        <f>Q28</f>
        <v/>
      </c>
      <c r="D29" s="3" t="n"/>
      <c r="E29" s="3" t="n"/>
      <c r="F29" s="3" t="n"/>
      <c r="G29" s="3" t="n"/>
      <c r="H29" s="3" t="n"/>
      <c r="I29" s="3" t="n"/>
      <c r="J29" s="6">
        <f>IF(COUNTA(D29:I29)&gt;0,SUM(D29:I29),IF(K29="", "", K29))</f>
        <v/>
      </c>
      <c r="K29" s="3" t="n">
        <v>1</v>
      </c>
      <c r="L29" s="3" t="n"/>
      <c r="M29" s="4" t="n"/>
      <c r="N29" s="3" t="n"/>
      <c r="O29" s="6">
        <f>IF(COUNTA(L29:N29)&gt;0,SUM(L29:N29),IF(P29="", "", P29))</f>
        <v/>
      </c>
      <c r="P29" s="3" t="n">
        <v>4</v>
      </c>
      <c r="Q29" s="3" t="n"/>
      <c r="R29" s="3" t="n">
        <v>16</v>
      </c>
      <c r="S29" s="6">
        <f>IF(OR(C29="",J29="",O29=""),"",C29+J29-O29)</f>
        <v/>
      </c>
      <c r="T29" s="3" t="n">
        <v>31</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DATE(2025,4,24)</f>
        <v/>
      </c>
      <c r="B30" s="6" t="n">
        <v>24</v>
      </c>
      <c r="C30" s="6">
        <f>Q29</f>
        <v/>
      </c>
      <c r="D30" s="3" t="n"/>
      <c r="E30" s="3" t="n"/>
      <c r="F30" s="3" t="n"/>
      <c r="G30" s="3" t="n"/>
      <c r="H30" s="3" t="n"/>
      <c r="I30" s="3" t="n"/>
      <c r="J30" s="6">
        <f>IF(COUNTA(D30:I30)&gt;0,SUM(D30:I30),IF(K30="", "", K30))</f>
        <v/>
      </c>
      <c r="K30" s="3" t="n">
        <v>3</v>
      </c>
      <c r="L30" s="3" t="n"/>
      <c r="M30" s="4" t="n"/>
      <c r="N30" s="3" t="n"/>
      <c r="O30" s="6">
        <f>IF(COUNTA(L30:N30)&gt;0,SUM(L30:N30),IF(P30="", "", P30))</f>
        <v/>
      </c>
      <c r="P30" s="3" t="n"/>
      <c r="Q30" s="3" t="n"/>
      <c r="R30" s="3" t="n">
        <v>16</v>
      </c>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DATE(2025,4,25)</f>
        <v/>
      </c>
      <c r="B31" s="6" t="n">
        <v>25</v>
      </c>
      <c r="C31" s="6">
        <f>Q30</f>
        <v/>
      </c>
      <c r="D31" s="3" t="n"/>
      <c r="E31" s="3" t="n"/>
      <c r="F31" s="3" t="n"/>
      <c r="G31" s="3" t="n"/>
      <c r="H31" s="3" t="n"/>
      <c r="I31" s="3" t="n"/>
      <c r="J31" s="6">
        <f>IF(COUNTA(D31:I31)&gt;0,SUM(D31:I31),IF(K31="", "", K31))</f>
        <v/>
      </c>
      <c r="K31" s="3" t="n">
        <v>1</v>
      </c>
      <c r="L31" s="3" t="n"/>
      <c r="M31" s="4" t="n"/>
      <c r="N31" s="3" t="n"/>
      <c r="O31" s="6">
        <f>IF(COUNTA(L31:N31)&gt;0,SUM(L31:N31),IF(P31="", "", P31))</f>
        <v/>
      </c>
      <c r="P31" s="3" t="n">
        <v>4</v>
      </c>
      <c r="Q31" s="3" t="n"/>
      <c r="R31" s="3" t="n">
        <v>16</v>
      </c>
      <c r="S31" s="6">
        <f>IF(OR(C31="",J31="",O31=""),"",C31+J31-O31)</f>
        <v/>
      </c>
      <c r="T31" s="3" t="n">
        <v>32</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DATE(2025,4,26)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v>16</v>
      </c>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DATE(2025,4,27)</f>
        <v/>
      </c>
      <c r="B33" s="6" t="n">
        <v>27</v>
      </c>
      <c r="C33" s="6">
        <f>Q32</f>
        <v/>
      </c>
      <c r="D33" s="3" t="n"/>
      <c r="E33" s="3" t="n"/>
      <c r="F33" s="3" t="n"/>
      <c r="G33" s="3" t="n"/>
      <c r="H33" s="3" t="n"/>
      <c r="I33" s="3" t="n"/>
      <c r="J33" s="6">
        <f>IF(COUNTA(D33:I33)&gt;0,SUM(D33:I33),IF(K33="", "", K33))</f>
        <v/>
      </c>
      <c r="K33" s="3" t="n">
        <v>1</v>
      </c>
      <c r="L33" s="3" t="n"/>
      <c r="M33" s="4" t="n"/>
      <c r="N33" s="3" t="n"/>
      <c r="O33" s="6">
        <f>IF(COUNTA(L33:N33)&gt;0,SUM(L33:N33),IF(P33="", "", P33))</f>
        <v/>
      </c>
      <c r="P33" s="3" t="n"/>
      <c r="Q33" s="3" t="n"/>
      <c r="R33" s="3" t="n">
        <v>16</v>
      </c>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DATE(2025,4,28)</f>
        <v/>
      </c>
      <c r="B34" s="6" t="n">
        <v>28</v>
      </c>
      <c r="C34" s="6">
        <f>Q33</f>
        <v/>
      </c>
      <c r="D34" s="3" t="n"/>
      <c r="E34" s="3" t="n"/>
      <c r="F34" s="3" t="n"/>
      <c r="G34" s="3" t="n"/>
      <c r="H34" s="3" t="n"/>
      <c r="I34" s="3" t="n"/>
      <c r="J34" s="6">
        <f>IF(COUNTA(D34:I34)&gt;0,SUM(D34:I34),IF(K34="", "", K34))</f>
        <v/>
      </c>
      <c r="K34" s="3" t="n">
        <v>6</v>
      </c>
      <c r="L34" s="3" t="n"/>
      <c r="M34" s="4" t="n"/>
      <c r="N34" s="3" t="n"/>
      <c r="O34" s="6">
        <f>IF(COUNTA(L34:N34)&gt;0,SUM(L34:N34),IF(P34="", "", P34))</f>
        <v/>
      </c>
      <c r="P34" s="3" t="n">
        <v>3</v>
      </c>
      <c r="Q34" s="3" t="n"/>
      <c r="R34" s="3" t="n">
        <v>16</v>
      </c>
      <c r="S34" s="6">
        <f>IF(OR(C34="",J34="",O34=""),"",C34+J34-O34)</f>
        <v/>
      </c>
      <c r="T34" s="3" t="n">
        <v>15</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DATE(2025,4,29)</f>
        <v/>
      </c>
      <c r="B35" s="6" t="n">
        <v>29</v>
      </c>
      <c r="C35" s="6">
        <f>Q34</f>
        <v/>
      </c>
      <c r="D35" s="3" t="n"/>
      <c r="E35" s="3" t="n"/>
      <c r="F35" s="3" t="n"/>
      <c r="G35" s="3" t="n"/>
      <c r="H35" s="3" t="n"/>
      <c r="I35" s="3" t="n"/>
      <c r="J35" s="6">
        <f>IF(COUNTA(D35:I35)&gt;0,SUM(D35:I35),IF(K35="", "", K35))</f>
        <v/>
      </c>
      <c r="K35" s="3" t="n">
        <v>1</v>
      </c>
      <c r="L35" s="3" t="n"/>
      <c r="M35" s="4" t="n"/>
      <c r="N35" s="3" t="n"/>
      <c r="O35" s="6">
        <f>IF(COUNTA(L35:N35)&gt;0,SUM(L35:N35),IF(P35="", "", P35))</f>
        <v/>
      </c>
      <c r="P35" s="3" t="n">
        <v>3</v>
      </c>
      <c r="Q35" s="3" t="n"/>
      <c r="R35" s="3" t="n">
        <v>16</v>
      </c>
      <c r="S35" s="6">
        <f>IF(OR(C35="",J35="",O35=""),"",C35+J35-O35)</f>
        <v/>
      </c>
      <c r="T35" s="3" t="n">
        <v>25</v>
      </c>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DATE(2025,4,30)</f>
        <v/>
      </c>
      <c r="B36" s="6" t="n">
        <v>30</v>
      </c>
      <c r="C36" s="6">
        <f>Q35</f>
        <v/>
      </c>
      <c r="D36" s="3" t="n"/>
      <c r="E36" s="3" t="n"/>
      <c r="F36" s="3" t="n"/>
      <c r="G36" s="3" t="n"/>
      <c r="H36" s="3" t="n"/>
      <c r="I36" s="3" t="n"/>
      <c r="J36" s="6">
        <f>IF(COUNTA(D36:I36)&gt;0,SUM(D36:I36),IF(K36="", "", K36))</f>
        <v/>
      </c>
      <c r="K36" s="3" t="n">
        <v>5</v>
      </c>
      <c r="L36" s="3" t="n"/>
      <c r="M36" s="4" t="n"/>
      <c r="N36" s="3" t="n"/>
      <c r="O36" s="6">
        <f>IF(COUNTA(L36:N36)&gt;0,SUM(L36:N36),IF(P36="", "", P36))</f>
        <v/>
      </c>
      <c r="P36" s="3" t="n">
        <v>2</v>
      </c>
      <c r="Q36" s="3" t="n"/>
      <c r="R36" s="3" t="n">
        <v>16</v>
      </c>
      <c r="S36" s="6">
        <f>IF(OR(C36="",J36="",O36=""),"",C36+J36-O36)</f>
        <v/>
      </c>
      <c r="T36" s="3" t="n">
        <v>19</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MAYO 2025</t>
        </is>
      </c>
    </row>
    <row r="2">
      <c r="A2" s="2" t="inlineStr">
        <is>
          <t>Servicio</t>
        </is>
      </c>
      <c r="B2" s="6">
        <f>01_PARAMETROS!B3</f>
        <v/>
      </c>
      <c r="C2" s="2" t="inlineStr">
        <is>
          <t>Codigo</t>
        </is>
      </c>
      <c r="D2" s="6">
        <f>01_PARAMETROS!B4</f>
        <v/>
      </c>
      <c r="E2" s="2" t="inlineStr">
        <is>
          <t>Mes</t>
        </is>
      </c>
      <c r="F2" s="3" t="inlineStr">
        <is>
          <t>MAYO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DATE(2025,5,1)</f>
        <v/>
      </c>
      <c r="B7" s="6" t="n">
        <v>1</v>
      </c>
      <c r="C7" s="3" t="n">
        <v>13</v>
      </c>
      <c r="D7" s="3" t="n"/>
      <c r="E7" s="3" t="n"/>
      <c r="F7" s="3" t="n"/>
      <c r="G7" s="3" t="n"/>
      <c r="H7" s="3" t="n"/>
      <c r="I7" s="3" t="n"/>
      <c r="J7" s="6">
        <f>IF(COUNTA(D7:I7)&gt;0,SUM(D7:I7),IF(K7="", "", K7))</f>
        <v/>
      </c>
      <c r="K7" s="3" t="n"/>
      <c r="L7" s="3" t="n"/>
      <c r="M7" s="4" t="n"/>
      <c r="N7" s="3" t="n"/>
      <c r="O7" s="6">
        <f>IF(COUNTA(L7:N7)&gt;0,SUM(L7:N7),IF(P7="", "", P7))</f>
        <v/>
      </c>
      <c r="P7" s="3" t="n">
        <v>1</v>
      </c>
      <c r="Q7" s="3" t="n"/>
      <c r="R7" s="3" t="n">
        <v>16</v>
      </c>
      <c r="S7" s="6">
        <f>IF(OR(C7="",J7="",O7=""),"",C7+J7-O7)</f>
        <v/>
      </c>
      <c r="T7" s="3" t="n">
        <v>15</v>
      </c>
      <c r="U7" s="3" t="n"/>
      <c r="V7" s="3" t="n"/>
      <c r="W7" s="6">
        <f>IF(Z7=1,"FALTAN DATOS",IF(S7&lt;0,"OCUPACION NEGATIVA",IF(X7=1,"SOBREOCUPACION",IF(Y7&lt;&gt;0,"BALANCE RARO","OK"))))</f>
        <v/>
      </c>
      <c r="X7" s="6">
        <f>IF(AND(R7&lt;&gt;"",S7&gt;R7),1,0)</f>
        <v/>
      </c>
      <c r="Y7" s="6">
        <f>IF(OR(C7="",J7="",O7="",S7=""),"",C7+J7-O7-S7)</f>
        <v/>
      </c>
      <c r="Z7" s="6">
        <f>IF(OR(R7="",A7="",B7="",C7="",J7="",O7=""),1,0)</f>
        <v/>
      </c>
    </row>
    <row r="8">
      <c r="A8" s="6">
        <f>DATE(2025,5,2)</f>
        <v/>
      </c>
      <c r="B8" s="6" t="n">
        <v>2</v>
      </c>
      <c r="C8" s="6">
        <f>Q7</f>
        <v/>
      </c>
      <c r="D8" s="3" t="n">
        <v>3</v>
      </c>
      <c r="E8" s="3" t="n"/>
      <c r="F8" s="3" t="n"/>
      <c r="G8" s="3" t="n"/>
      <c r="H8" s="3" t="n"/>
      <c r="I8" s="3" t="n"/>
      <c r="J8" s="6">
        <f>IF(COUNTA(D8:I8)&gt;0,SUM(D8:I8),IF(K8="", "", K8))</f>
        <v/>
      </c>
      <c r="K8" s="3" t="n"/>
      <c r="L8" s="3" t="n">
        <v>4</v>
      </c>
      <c r="M8" s="4" t="n"/>
      <c r="N8" s="3" t="n"/>
      <c r="O8" s="6">
        <f>IF(COUNTA(L8:N8)&gt;0,SUM(L8:N8),IF(P8="", "", P8))</f>
        <v/>
      </c>
      <c r="P8" s="3" t="n"/>
      <c r="Q8" s="3" t="n"/>
      <c r="R8" s="3" t="n">
        <v>16</v>
      </c>
      <c r="S8" s="6">
        <f>IF(OR(C8="",J8="",O8=""),"",C8+J8-O8)</f>
        <v/>
      </c>
      <c r="T8" s="3" t="n">
        <v>65</v>
      </c>
      <c r="U8" s="3" t="n"/>
      <c r="V8" s="3" t="n"/>
      <c r="W8" s="6">
        <f>IF(Z8=1,"FALTAN DATOS",IF(S8&lt;0,"OCUPACION NEGATIVA",IF(X8=1,"SOBREOCUPACION",IF(Y8&lt;&gt;0,"BALANCE RARO","OK"))))</f>
        <v/>
      </c>
      <c r="X8" s="6">
        <f>IF(AND(R8&lt;&gt;"",S8&gt;R8),1,0)</f>
        <v/>
      </c>
      <c r="Y8" s="6">
        <f>IF(OR(C8="",J8="",O8="",S8=""),"",C8+J8-O8-S8)</f>
        <v/>
      </c>
      <c r="Z8" s="6">
        <f>IF(OR(R8="",A8="",B8="",C8="",J8="",O8=""),1,0)</f>
        <v/>
      </c>
    </row>
    <row r="9">
      <c r="A9" s="6">
        <f>DATE(2025,5,3)</f>
        <v/>
      </c>
      <c r="B9" s="6" t="n">
        <v>3</v>
      </c>
      <c r="C9" s="6">
        <f>Q8</f>
        <v/>
      </c>
      <c r="D9" s="3" t="n"/>
      <c r="E9" s="3" t="n">
        <v>1</v>
      </c>
      <c r="F9" s="3" t="n"/>
      <c r="G9" s="3" t="n"/>
      <c r="H9" s="3" t="n"/>
      <c r="I9" s="3" t="n"/>
      <c r="J9" s="6">
        <f>IF(COUNTA(D9:I9)&gt;0,SUM(D9:I9),IF(K9="", "", K9))</f>
        <v/>
      </c>
      <c r="K9" s="3" t="n"/>
      <c r="L9" s="3" t="n">
        <v>1</v>
      </c>
      <c r="M9" s="4" t="n"/>
      <c r="N9" s="3" t="n"/>
      <c r="O9" s="6">
        <f>IF(COUNTA(L9:N9)&gt;0,SUM(L9:N9),IF(P9="", "", P9))</f>
        <v/>
      </c>
      <c r="P9" s="3" t="n"/>
      <c r="Q9" s="3" t="n"/>
      <c r="R9" s="3" t="n">
        <v>16</v>
      </c>
      <c r="S9" s="6">
        <f>IF(OR(C9="",J9="",O9=""),"",C9+J9-O9)</f>
        <v/>
      </c>
      <c r="T9" s="3" t="n">
        <v>3</v>
      </c>
      <c r="U9" s="3" t="n"/>
      <c r="V9" s="3" t="n"/>
      <c r="W9" s="6">
        <f>IF(Z9=1,"FALTAN DATOS",IF(S9&lt;0,"OCUPACION NEGATIVA",IF(X9=1,"SOBREOCUPACION",IF(Y9&lt;&gt;0,"BALANCE RARO","OK"))))</f>
        <v/>
      </c>
      <c r="X9" s="6">
        <f>IF(AND(R9&lt;&gt;"",S9&gt;R9),1,0)</f>
        <v/>
      </c>
      <c r="Y9" s="6">
        <f>IF(OR(C9="",J9="",O9="",S9=""),"",C9+J9-O9-S9)</f>
        <v/>
      </c>
      <c r="Z9" s="6">
        <f>IF(OR(R9="",A9="",B9="",C9="",J9="",O9=""),1,0)</f>
        <v/>
      </c>
    </row>
    <row r="10">
      <c r="A10" s="6">
        <f>DATE(2025,5,4)</f>
        <v/>
      </c>
      <c r="B10" s="6" t="n">
        <v>4</v>
      </c>
      <c r="C10" s="6">
        <f>Q9</f>
        <v/>
      </c>
      <c r="D10" s="3" t="n"/>
      <c r="E10" s="3" t="n"/>
      <c r="F10" s="3" t="n"/>
      <c r="G10" s="3" t="n"/>
      <c r="H10" s="3" t="n"/>
      <c r="I10" s="3" t="n"/>
      <c r="J10" s="6">
        <f>IF(COUNTA(D10:I10)&gt;0,SUM(D10:I10),IF(K10="", "", K10))</f>
        <v/>
      </c>
      <c r="K10" s="3" t="n"/>
      <c r="L10" s="3" t="n">
        <v>2</v>
      </c>
      <c r="M10" s="4" t="n"/>
      <c r="N10" s="3" t="n"/>
      <c r="O10" s="6">
        <f>IF(COUNTA(L10:N10)&gt;0,SUM(L10:N10),IF(P10="", "", P10))</f>
        <v/>
      </c>
      <c r="P10" s="3" t="n"/>
      <c r="Q10" s="3" t="n"/>
      <c r="R10" s="3" t="n">
        <v>16</v>
      </c>
      <c r="S10" s="6">
        <f>IF(OR(C10="",J10="",O10=""),"",C10+J10-O10)</f>
        <v/>
      </c>
      <c r="T10" s="3" t="n">
        <v>42</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DATE(2025,5,5)</f>
        <v/>
      </c>
      <c r="B11" s="6" t="n">
        <v>5</v>
      </c>
      <c r="C11" s="6">
        <f>Q10</f>
        <v/>
      </c>
      <c r="D11" s="3" t="n">
        <v>1</v>
      </c>
      <c r="E11" s="3" t="n">
        <v>1</v>
      </c>
      <c r="F11" s="3" t="n"/>
      <c r="G11" s="3" t="n"/>
      <c r="H11" s="3" t="n"/>
      <c r="I11" s="3" t="n"/>
      <c r="J11" s="6">
        <f>IF(COUNTA(D11:I11)&gt;0,SUM(D11:I11),IF(K11="", "", K11))</f>
        <v/>
      </c>
      <c r="K11" s="3" t="n"/>
      <c r="L11" s="3" t="n">
        <v>4</v>
      </c>
      <c r="M11" s="4" t="n"/>
      <c r="N11" s="3" t="n"/>
      <c r="O11" s="6">
        <f>IF(COUNTA(L11:N11)&gt;0,SUM(L11:N11),IF(P11="", "", P11))</f>
        <v/>
      </c>
      <c r="P11" s="3" t="n"/>
      <c r="Q11" s="3" t="n"/>
      <c r="R11" s="3" t="n">
        <v>16</v>
      </c>
      <c r="S11" s="6">
        <f>IF(OR(C11="",J11="",O11=""),"",C11+J11-O11)</f>
        <v/>
      </c>
      <c r="T11" s="3" t="n">
        <v>32</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DATE(2025,5,6)</f>
        <v/>
      </c>
      <c r="B12" s="6" t="n">
        <v>6</v>
      </c>
      <c r="C12" s="6">
        <f>Q11</f>
        <v/>
      </c>
      <c r="D12" s="3" t="n">
        <v>2</v>
      </c>
      <c r="E12" s="3" t="n"/>
      <c r="F12" s="3" t="n"/>
      <c r="G12" s="3" t="n"/>
      <c r="H12" s="3" t="n"/>
      <c r="I12" s="3" t="n"/>
      <c r="J12" s="6">
        <f>IF(COUNTA(D12:I12)&gt;0,SUM(D12:I12),IF(K12="", "", K12))</f>
        <v/>
      </c>
      <c r="K12" s="3" t="n"/>
      <c r="L12" s="3" t="n">
        <v>2</v>
      </c>
      <c r="M12" s="4" t="n"/>
      <c r="N12" s="3" t="n"/>
      <c r="O12" s="6">
        <f>IF(COUNTA(L12:N12)&gt;0,SUM(L12:N12),IF(P12="", "", P12))</f>
        <v/>
      </c>
      <c r="P12" s="3" t="n"/>
      <c r="Q12" s="3" t="n"/>
      <c r="R12" s="3" t="n">
        <v>16</v>
      </c>
      <c r="S12" s="6">
        <f>IF(OR(C12="",J12="",O12=""),"",C12+J12-O12)</f>
        <v/>
      </c>
      <c r="T12" s="3" t="n">
        <v>17</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DATE(2025,5,7)</f>
        <v/>
      </c>
      <c r="B13" s="6" t="n">
        <v>7</v>
      </c>
      <c r="C13" s="6">
        <f>Q12</f>
        <v/>
      </c>
      <c r="D13" s="3" t="n"/>
      <c r="E13" s="3" t="n"/>
      <c r="F13" s="3" t="n"/>
      <c r="G13" s="3" t="n"/>
      <c r="H13" s="3" t="n"/>
      <c r="I13" s="3" t="n"/>
      <c r="J13" s="6">
        <f>IF(COUNTA(D13:I13)&gt;0,SUM(D13:I13),IF(K13="", "", K13))</f>
        <v/>
      </c>
      <c r="K13" s="3" t="n"/>
      <c r="L13" s="3" t="n"/>
      <c r="M13" s="4" t="n"/>
      <c r="N13" s="3" t="n">
        <v>1</v>
      </c>
      <c r="O13" s="6">
        <f>IF(COUNTA(L13:N13)&gt;0,SUM(L13:N13),IF(P13="", "", P13))</f>
        <v/>
      </c>
      <c r="P13" s="3" t="n"/>
      <c r="Q13" s="3" t="n"/>
      <c r="R13" s="3" t="n">
        <v>16</v>
      </c>
      <c r="S13" s="6">
        <f>IF(OR(C13="",J13="",O13=""),"",C13+J13-O13)</f>
        <v/>
      </c>
      <c r="T13" s="3" t="n">
        <v>5</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DATE(2025,5,8)</f>
        <v/>
      </c>
      <c r="B14" s="6" t="n">
        <v>8</v>
      </c>
      <c r="C14" s="6">
        <f>Q13</f>
        <v/>
      </c>
      <c r="D14" s="3" t="n">
        <v>2</v>
      </c>
      <c r="E14" s="3" t="n"/>
      <c r="F14" s="3" t="n"/>
      <c r="G14" s="3" t="n"/>
      <c r="H14" s="3" t="n"/>
      <c r="I14" s="3" t="n"/>
      <c r="J14" s="6">
        <f>IF(COUNTA(D14:I14)&gt;0,SUM(D14:I14),IF(K14="", "", K14))</f>
        <v/>
      </c>
      <c r="K14" s="3" t="n"/>
      <c r="L14" s="3" t="n">
        <v>1</v>
      </c>
      <c r="M14" s="4" t="n"/>
      <c r="N14" s="3" t="n"/>
      <c r="O14" s="6">
        <f>IF(COUNTA(L14:N14)&gt;0,SUM(L14:N14),IF(P14="", "", P14))</f>
        <v/>
      </c>
      <c r="P14" s="3" t="n"/>
      <c r="Q14" s="3" t="n"/>
      <c r="R14" s="3" t="n">
        <v>16</v>
      </c>
      <c r="S14" s="6">
        <f>IF(OR(C14="",J14="",O14=""),"",C14+J14-O14)</f>
        <v/>
      </c>
      <c r="T14" s="3" t="n">
        <v>5</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DATE(2025,5,9)</f>
        <v/>
      </c>
      <c r="B15" s="6" t="n">
        <v>9</v>
      </c>
      <c r="C15" s="6">
        <f>Q14</f>
        <v/>
      </c>
      <c r="D15" s="3" t="n">
        <v>2</v>
      </c>
      <c r="E15" s="3" t="n">
        <v>1</v>
      </c>
      <c r="F15" s="3" t="n"/>
      <c r="G15" s="3" t="n"/>
      <c r="H15" s="3" t="n"/>
      <c r="I15" s="3" t="n"/>
      <c r="J15" s="6">
        <f>IF(COUNTA(D15:I15)&gt;0,SUM(D15:I15),IF(K15="", "", K15))</f>
        <v/>
      </c>
      <c r="K15" s="3" t="n"/>
      <c r="L15" s="3" t="n">
        <v>3</v>
      </c>
      <c r="M15" s="4" t="n"/>
      <c r="N15" s="3" t="n"/>
      <c r="O15" s="6">
        <f>IF(COUNTA(L15:N15)&gt;0,SUM(L15:N15),IF(P15="", "", P15))</f>
        <v/>
      </c>
      <c r="P15" s="3" t="n"/>
      <c r="Q15" s="3" t="n"/>
      <c r="R15" s="3" t="n">
        <v>16</v>
      </c>
      <c r="S15" s="6">
        <f>IF(OR(C15="",J15="",O15=""),"",C15+J15-O15)</f>
        <v/>
      </c>
      <c r="T15" s="3" t="n">
        <v>18</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DATE(2025,5,10)</f>
        <v/>
      </c>
      <c r="B16" s="6" t="n">
        <v>10</v>
      </c>
      <c r="C16" s="6">
        <f>Q15</f>
        <v/>
      </c>
      <c r="D16" s="3" t="n"/>
      <c r="E16" s="3" t="n">
        <v>1</v>
      </c>
      <c r="F16" s="3" t="n"/>
      <c r="G16" s="3" t="n"/>
      <c r="H16" s="3" t="n"/>
      <c r="I16" s="3" t="n"/>
      <c r="J16" s="6">
        <f>IF(COUNTA(D16:I16)&gt;0,SUM(D16:I16),IF(K16="", "", K16))</f>
        <v/>
      </c>
      <c r="K16" s="3" t="n"/>
      <c r="L16" s="3" t="n">
        <v>2</v>
      </c>
      <c r="M16" s="4" t="n"/>
      <c r="N16" s="3" t="n"/>
      <c r="O16" s="6">
        <f>IF(COUNTA(L16:N16)&gt;0,SUM(L16:N16),IF(P16="", "", P16))</f>
        <v/>
      </c>
      <c r="P16" s="3" t="n"/>
      <c r="Q16" s="3" t="n"/>
      <c r="R16" s="3" t="n">
        <v>16</v>
      </c>
      <c r="S16" s="6">
        <f>IF(OR(C16="",J16="",O16=""),"",C16+J16-O16)</f>
        <v/>
      </c>
      <c r="T16" s="3" t="n">
        <v>26</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DATE(2025,5,11)</f>
        <v/>
      </c>
      <c r="B17" s="6" t="n">
        <v>11</v>
      </c>
      <c r="C17" s="6">
        <f>Q16</f>
        <v/>
      </c>
      <c r="D17" s="3" t="n">
        <v>1</v>
      </c>
      <c r="E17" s="3" t="n">
        <v>1</v>
      </c>
      <c r="F17" s="3" t="n"/>
      <c r="G17" s="3" t="n"/>
      <c r="H17" s="3" t="n"/>
      <c r="I17" s="3" t="n"/>
      <c r="J17" s="6">
        <f>IF(COUNTA(D17:I17)&gt;0,SUM(D17:I17),IF(K17="", "", K17))</f>
        <v/>
      </c>
      <c r="K17" s="3" t="n"/>
      <c r="L17" s="3" t="n"/>
      <c r="M17" s="4" t="n"/>
      <c r="N17" s="3" t="n"/>
      <c r="O17" s="6">
        <f>IF(COUNTA(L17:N17)&gt;0,SUM(L17:N17),IF(P17="", "", P17))</f>
        <v/>
      </c>
      <c r="P17" s="3" t="n"/>
      <c r="Q17" s="3" t="n"/>
      <c r="R17" s="3" t="n">
        <v>16</v>
      </c>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DATE(2025,5,12)</f>
        <v/>
      </c>
      <c r="B18" s="6" t="n">
        <v>12</v>
      </c>
      <c r="C18" s="6">
        <f>Q17</f>
        <v/>
      </c>
      <c r="D18" s="3" t="n"/>
      <c r="E18" s="3" t="n">
        <v>4</v>
      </c>
      <c r="F18" s="3" t="n"/>
      <c r="G18" s="3" t="n"/>
      <c r="H18" s="3" t="n"/>
      <c r="I18" s="3" t="n"/>
      <c r="J18" s="6">
        <f>IF(COUNTA(D18:I18)&gt;0,SUM(D18:I18),IF(K18="", "", K18))</f>
        <v/>
      </c>
      <c r="K18" s="3" t="n"/>
      <c r="L18" s="3" t="n">
        <v>3</v>
      </c>
      <c r="M18" s="4" t="n"/>
      <c r="N18" s="3" t="n"/>
      <c r="O18" s="6">
        <f>IF(COUNTA(L18:N18)&gt;0,SUM(L18:N18),IF(P18="", "", P18))</f>
        <v/>
      </c>
      <c r="P18" s="3" t="n"/>
      <c r="Q18" s="3" t="n"/>
      <c r="R18" s="3" t="n">
        <v>16</v>
      </c>
      <c r="S18" s="6">
        <f>IF(OR(C18="",J18="",O18=""),"",C18+J18-O18)</f>
        <v/>
      </c>
      <c r="T18" s="3" t="n">
        <v>28</v>
      </c>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DATE(2025,5,13)</f>
        <v/>
      </c>
      <c r="B19" s="6" t="n">
        <v>13</v>
      </c>
      <c r="C19" s="6">
        <f>Q18</f>
        <v/>
      </c>
      <c r="D19" s="3" t="n">
        <v>1</v>
      </c>
      <c r="E19" s="3" t="n">
        <v>1</v>
      </c>
      <c r="F19" s="3" t="n"/>
      <c r="G19" s="3" t="n"/>
      <c r="H19" s="3" t="n"/>
      <c r="I19" s="3" t="n"/>
      <c r="J19" s="6">
        <f>IF(COUNTA(D19:I19)&gt;0,SUM(D19:I19),IF(K19="", "", K19))</f>
        <v/>
      </c>
      <c r="K19" s="3" t="n"/>
      <c r="L19" s="3" t="n"/>
      <c r="M19" s="4" t="n"/>
      <c r="N19" s="3" t="n"/>
      <c r="O19" s="6">
        <f>IF(COUNTA(L19:N19)&gt;0,SUM(L19:N19),IF(P19="", "", P19))</f>
        <v/>
      </c>
      <c r="P19" s="3" t="n"/>
      <c r="Q19" s="3" t="n"/>
      <c r="R19" s="3" t="n">
        <v>16</v>
      </c>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DATE(2025,5,14)</f>
        <v/>
      </c>
      <c r="B20" s="6" t="n">
        <v>14</v>
      </c>
      <c r="C20" s="6">
        <f>Q19</f>
        <v/>
      </c>
      <c r="D20" s="3" t="n"/>
      <c r="E20" s="3" t="n">
        <v>1</v>
      </c>
      <c r="F20" s="3" t="n"/>
      <c r="G20" s="3" t="n"/>
      <c r="H20" s="3" t="n"/>
      <c r="I20" s="3" t="n"/>
      <c r="J20" s="6">
        <f>IF(COUNTA(D20:I20)&gt;0,SUM(D20:I20),IF(K20="", "", K20))</f>
        <v/>
      </c>
      <c r="K20" s="3" t="n"/>
      <c r="L20" s="3" t="n">
        <v>1</v>
      </c>
      <c r="M20" s="4" t="n"/>
      <c r="N20" s="3" t="n"/>
      <c r="O20" s="6">
        <f>IF(COUNTA(L20:N20)&gt;0,SUM(L20:N20),IF(P20="", "", P20))</f>
        <v/>
      </c>
      <c r="P20" s="3" t="n"/>
      <c r="Q20" s="3" t="n"/>
      <c r="R20" s="3" t="n">
        <v>16</v>
      </c>
      <c r="S20" s="6">
        <f>IF(OR(C20="",J20="",O20=""),"",C20+J20-O20)</f>
        <v/>
      </c>
      <c r="T20" s="3" t="n">
        <v>23</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DATE(2025,5,15)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v>16</v>
      </c>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DATE(2025,5,16)</f>
        <v/>
      </c>
      <c r="B22" s="6" t="n">
        <v>16</v>
      </c>
      <c r="C22" s="6">
        <f>Q21</f>
        <v/>
      </c>
      <c r="D22" s="3" t="n"/>
      <c r="E22" s="3" t="n">
        <v>2</v>
      </c>
      <c r="F22" s="3" t="n"/>
      <c r="G22" s="3" t="n"/>
      <c r="H22" s="3" t="n"/>
      <c r="I22" s="3" t="n"/>
      <c r="J22" s="6">
        <f>IF(COUNTA(D22:I22)&gt;0,SUM(D22:I22),IF(K22="", "", K22))</f>
        <v/>
      </c>
      <c r="K22" s="3" t="n"/>
      <c r="L22" s="3" t="n">
        <v>6</v>
      </c>
      <c r="M22" s="4" t="n"/>
      <c r="N22" s="3" t="n"/>
      <c r="O22" s="6">
        <f>IF(COUNTA(L22:N22)&gt;0,SUM(L22:N22),IF(P22="", "", P22))</f>
        <v/>
      </c>
      <c r="P22" s="3" t="n"/>
      <c r="Q22" s="3" t="n"/>
      <c r="R22" s="3" t="n">
        <v>16</v>
      </c>
      <c r="S22" s="6">
        <f>IF(OR(C22="",J22="",O22=""),"",C22+J22-O22)</f>
        <v/>
      </c>
      <c r="T22" s="3" t="n">
        <v>33</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DATE(2025,5,17)</f>
        <v/>
      </c>
      <c r="B23" s="6" t="n">
        <v>17</v>
      </c>
      <c r="C23" s="6">
        <f>Q22</f>
        <v/>
      </c>
      <c r="D23" s="3" t="n">
        <v>1</v>
      </c>
      <c r="E23" s="3" t="n"/>
      <c r="F23" s="3" t="n"/>
      <c r="G23" s="3" t="n"/>
      <c r="H23" s="3" t="n"/>
      <c r="I23" s="3" t="n"/>
      <c r="J23" s="6">
        <f>IF(COUNTA(D23:I23)&gt;0,SUM(D23:I23),IF(K23="", "", K23))</f>
        <v/>
      </c>
      <c r="K23" s="3" t="n"/>
      <c r="L23" s="3" t="n"/>
      <c r="M23" s="4" t="n"/>
      <c r="N23" s="3" t="n"/>
      <c r="O23" s="6">
        <f>IF(COUNTA(L23:N23)&gt;0,SUM(L23:N23),IF(P23="", "", P23))</f>
        <v/>
      </c>
      <c r="P23" s="3" t="n"/>
      <c r="Q23" s="3" t="n"/>
      <c r="R23" s="3" t="n">
        <v>16</v>
      </c>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DATE(2025,5,18)</f>
        <v/>
      </c>
      <c r="B24" s="6" t="n">
        <v>18</v>
      </c>
      <c r="C24" s="6">
        <f>Q23</f>
        <v/>
      </c>
      <c r="D24" s="3" t="n"/>
      <c r="E24" s="3" t="n">
        <v>2</v>
      </c>
      <c r="F24" s="3" t="n"/>
      <c r="G24" s="3" t="n"/>
      <c r="H24" s="3" t="n"/>
      <c r="I24" s="3" t="n"/>
      <c r="J24" s="6">
        <f>IF(COUNTA(D24:I24)&gt;0,SUM(D24:I24),IF(K24="", "", K24))</f>
        <v/>
      </c>
      <c r="K24" s="3" t="n"/>
      <c r="L24" s="3" t="n"/>
      <c r="M24" s="4" t="n">
        <v>1</v>
      </c>
      <c r="N24" s="3" t="n"/>
      <c r="O24" s="6">
        <f>IF(COUNTA(L24:N24)&gt;0,SUM(L24:N24),IF(P24="", "", P24))</f>
        <v/>
      </c>
      <c r="P24" s="3" t="n"/>
      <c r="Q24" s="3" t="n"/>
      <c r="R24" s="3" t="n">
        <v>16</v>
      </c>
      <c r="S24" s="6">
        <f>IF(OR(C24="",J24="",O24=""),"",C24+J24-O24)</f>
        <v/>
      </c>
      <c r="T24" s="3" t="n">
        <v>5</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DATE(2025,5,19)</f>
        <v/>
      </c>
      <c r="B25" s="6" t="n">
        <v>19</v>
      </c>
      <c r="C25" s="6">
        <f>Q24</f>
        <v/>
      </c>
      <c r="D25" s="3" t="n"/>
      <c r="E25" s="3" t="n">
        <v>3</v>
      </c>
      <c r="F25" s="3" t="n"/>
      <c r="G25" s="3" t="n"/>
      <c r="H25" s="3" t="n"/>
      <c r="I25" s="3" t="n"/>
      <c r="J25" s="6">
        <f>IF(COUNTA(D25:I25)&gt;0,SUM(D25:I25),IF(K25="", "", K25))</f>
        <v/>
      </c>
      <c r="K25" s="3" t="n"/>
      <c r="L25" s="3" t="n">
        <v>1</v>
      </c>
      <c r="M25" s="4" t="n"/>
      <c r="N25" s="3" t="n"/>
      <c r="O25" s="6">
        <f>IF(COUNTA(L25:N25)&gt;0,SUM(L25:N25),IF(P25="", "", P25))</f>
        <v/>
      </c>
      <c r="P25" s="3" t="n"/>
      <c r="Q25" s="3" t="n"/>
      <c r="R25" s="3" t="n">
        <v>16</v>
      </c>
      <c r="S25" s="6">
        <f>IF(OR(C25="",J25="",O25=""),"",C25+J25-O25)</f>
        <v/>
      </c>
      <c r="T25" s="3" t="n">
        <v>8</v>
      </c>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DATE(2025,5,20)</f>
        <v/>
      </c>
      <c r="B26" s="6" t="n">
        <v>20</v>
      </c>
      <c r="C26" s="6">
        <f>Q25</f>
        <v/>
      </c>
      <c r="D26" s="3" t="n">
        <v>1</v>
      </c>
      <c r="E26" s="3" t="n"/>
      <c r="F26" s="3" t="n"/>
      <c r="G26" s="3" t="n"/>
      <c r="H26" s="3" t="n"/>
      <c r="I26" s="3" t="n"/>
      <c r="J26" s="6">
        <f>IF(COUNTA(D26:I26)&gt;0,SUM(D26:I26),IF(K26="", "", K26))</f>
        <v/>
      </c>
      <c r="K26" s="3" t="n"/>
      <c r="L26" s="3" t="n">
        <v>4</v>
      </c>
      <c r="M26" s="4" t="n"/>
      <c r="N26" s="3" t="n"/>
      <c r="O26" s="6">
        <f>IF(COUNTA(L26:N26)&gt;0,SUM(L26:N26),IF(P26="", "", P26))</f>
        <v/>
      </c>
      <c r="P26" s="3" t="n"/>
      <c r="Q26" s="3" t="n"/>
      <c r="R26" s="3" t="n">
        <v>16</v>
      </c>
      <c r="S26" s="6">
        <f>IF(OR(C26="",J26="",O26=""),"",C26+J26-O26)</f>
        <v/>
      </c>
      <c r="T26" s="3" t="n">
        <v>53</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DATE(2025,5,21)</f>
        <v/>
      </c>
      <c r="B27" s="6" t="n">
        <v>21</v>
      </c>
      <c r="C27" s="6">
        <f>Q26</f>
        <v/>
      </c>
      <c r="D27" s="3" t="n"/>
      <c r="E27" s="3" t="n">
        <v>2</v>
      </c>
      <c r="F27" s="3" t="n"/>
      <c r="G27" s="3" t="n"/>
      <c r="H27" s="3" t="n"/>
      <c r="I27" s="3" t="n"/>
      <c r="J27" s="6">
        <f>IF(COUNTA(D27:I27)&gt;0,SUM(D27:I27),IF(K27="", "", K27))</f>
        <v/>
      </c>
      <c r="K27" s="3" t="n"/>
      <c r="L27" s="3" t="n"/>
      <c r="M27" s="4" t="n"/>
      <c r="N27" s="3" t="n"/>
      <c r="O27" s="6">
        <f>IF(COUNTA(L27:N27)&gt;0,SUM(L27:N27),IF(P27="", "", P27))</f>
        <v/>
      </c>
      <c r="P27" s="3" t="n"/>
      <c r="Q27" s="3" t="n"/>
      <c r="R27" s="3" t="n">
        <v>16</v>
      </c>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DATE(2025,5,22)</f>
        <v/>
      </c>
      <c r="B28" s="6" t="n">
        <v>22</v>
      </c>
      <c r="C28" s="6">
        <f>Q27</f>
        <v/>
      </c>
      <c r="D28" s="3" t="n"/>
      <c r="E28" s="3" t="n">
        <v>2</v>
      </c>
      <c r="F28" s="3" t="n"/>
      <c r="G28" s="3" t="n"/>
      <c r="H28" s="3" t="n"/>
      <c r="I28" s="3" t="n"/>
      <c r="J28" s="6">
        <f>IF(COUNTA(D28:I28)&gt;0,SUM(D28:I28),IF(K28="", "", K28))</f>
        <v/>
      </c>
      <c r="K28" s="3" t="n"/>
      <c r="L28" s="3" t="n">
        <v>1</v>
      </c>
      <c r="M28" s="4" t="n"/>
      <c r="N28" s="3" t="n"/>
      <c r="O28" s="6">
        <f>IF(COUNTA(L28:N28)&gt;0,SUM(L28:N28),IF(P28="", "", P28))</f>
        <v/>
      </c>
      <c r="P28" s="3" t="n"/>
      <c r="Q28" s="3" t="n"/>
      <c r="R28" s="3" t="n">
        <v>16</v>
      </c>
      <c r="S28" s="6">
        <f>IF(OR(C28="",J28="",O28=""),"",C28+J28-O28)</f>
        <v/>
      </c>
      <c r="T28" s="3" t="n">
        <v>9</v>
      </c>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DATE(2025,5,23)</f>
        <v/>
      </c>
      <c r="B29" s="6" t="n">
        <v>23</v>
      </c>
      <c r="C29" s="6">
        <f>Q28</f>
        <v/>
      </c>
      <c r="D29" s="3" t="n"/>
      <c r="E29" s="3" t="n">
        <v>1</v>
      </c>
      <c r="F29" s="3" t="n"/>
      <c r="G29" s="3" t="n"/>
      <c r="H29" s="3" t="n"/>
      <c r="I29" s="3" t="n"/>
      <c r="J29" s="6">
        <f>IF(COUNTA(D29:I29)&gt;0,SUM(D29:I29),IF(K29="", "", K29))</f>
        <v/>
      </c>
      <c r="K29" s="3" t="n"/>
      <c r="L29" s="3" t="n">
        <v>9</v>
      </c>
      <c r="M29" s="4" t="n"/>
      <c r="N29" s="3" t="n"/>
      <c r="O29" s="6">
        <f>IF(COUNTA(L29:N29)&gt;0,SUM(L29:N29),IF(P29="", "", P29))</f>
        <v/>
      </c>
      <c r="P29" s="3" t="n"/>
      <c r="Q29" s="3" t="n"/>
      <c r="R29" s="3" t="n">
        <v>16</v>
      </c>
      <c r="S29" s="6">
        <f>IF(OR(C29="",J29="",O29=""),"",C29+J29-O29)</f>
        <v/>
      </c>
      <c r="T29" s="3" t="n">
        <v>42</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DATE(2025,5,24)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v>16</v>
      </c>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DATE(2025,5,25)</f>
        <v/>
      </c>
      <c r="B31" s="6" t="n">
        <v>25</v>
      </c>
      <c r="C31" s="6">
        <f>Q30</f>
        <v/>
      </c>
      <c r="D31" s="3" t="n"/>
      <c r="E31" s="3" t="n">
        <v>2</v>
      </c>
      <c r="F31" s="3" t="n"/>
      <c r="G31" s="3" t="n"/>
      <c r="H31" s="3" t="n"/>
      <c r="I31" s="3" t="n"/>
      <c r="J31" s="6">
        <f>IF(COUNTA(D31:I31)&gt;0,SUM(D31:I31),IF(K31="", "", K31))</f>
        <v/>
      </c>
      <c r="K31" s="3" t="n"/>
      <c r="L31" s="3" t="n"/>
      <c r="M31" s="4" t="n"/>
      <c r="N31" s="3" t="n"/>
      <c r="O31" s="6">
        <f>IF(COUNTA(L31:N31)&gt;0,SUM(L31:N31),IF(P31="", "", P31))</f>
        <v/>
      </c>
      <c r="P31" s="3" t="n"/>
      <c r="Q31" s="3" t="n"/>
      <c r="R31" s="3" t="n">
        <v>16</v>
      </c>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DATE(2025,5,26)</f>
        <v/>
      </c>
      <c r="B32" s="6" t="n">
        <v>26</v>
      </c>
      <c r="C32" s="6">
        <f>Q31</f>
        <v/>
      </c>
      <c r="D32" s="3" t="n">
        <v>1</v>
      </c>
      <c r="E32" s="3" t="n">
        <v>4</v>
      </c>
      <c r="F32" s="3" t="n"/>
      <c r="G32" s="3" t="n"/>
      <c r="H32" s="3" t="n"/>
      <c r="I32" s="3" t="n"/>
      <c r="J32" s="6">
        <f>IF(COUNTA(D32:I32)&gt;0,SUM(D32:I32),IF(K32="", "", K32))</f>
        <v/>
      </c>
      <c r="K32" s="3" t="n"/>
      <c r="L32" s="3" t="n">
        <v>1</v>
      </c>
      <c r="M32" s="4" t="n"/>
      <c r="N32" s="3" t="n"/>
      <c r="O32" s="6">
        <f>IF(COUNTA(L32:N32)&gt;0,SUM(L32:N32),IF(P32="", "", P32))</f>
        <v/>
      </c>
      <c r="P32" s="3" t="n"/>
      <c r="Q32" s="3" t="n"/>
      <c r="R32" s="3" t="n">
        <v>16</v>
      </c>
      <c r="S32" s="6">
        <f>IF(OR(C32="",J32="",O32=""),"",C32+J32-O32)</f>
        <v/>
      </c>
      <c r="T32" s="3" t="n">
        <v>3</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DATE(2025,5,27)</f>
        <v/>
      </c>
      <c r="B33" s="6" t="n">
        <v>27</v>
      </c>
      <c r="C33" s="6">
        <f>Q32</f>
        <v/>
      </c>
      <c r="D33" s="3" t="n"/>
      <c r="E33" s="3" t="n">
        <v>1</v>
      </c>
      <c r="F33" s="3" t="n"/>
      <c r="G33" s="3" t="n"/>
      <c r="H33" s="3" t="n"/>
      <c r="I33" s="3" t="n"/>
      <c r="J33" s="6">
        <f>IF(COUNTA(D33:I33)&gt;0,SUM(D33:I33),IF(K33="", "", K33))</f>
        <v/>
      </c>
      <c r="K33" s="3" t="n"/>
      <c r="L33" s="3" t="n">
        <v>1</v>
      </c>
      <c r="M33" s="4" t="n"/>
      <c r="N33" s="3" t="n"/>
      <c r="O33" s="6">
        <f>IF(COUNTA(L33:N33)&gt;0,SUM(L33:N33),IF(P33="", "", P33))</f>
        <v/>
      </c>
      <c r="P33" s="3" t="n"/>
      <c r="Q33" s="3" t="n"/>
      <c r="R33" s="3" t="n">
        <v>16</v>
      </c>
      <c r="S33" s="6">
        <f>IF(OR(C33="",J33="",O33=""),"",C33+J33-O33)</f>
        <v/>
      </c>
      <c r="T33" s="3" t="n">
        <v>1</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DATE(2025,5,28)</f>
        <v/>
      </c>
      <c r="B34" s="6" t="n">
        <v>28</v>
      </c>
      <c r="C34" s="6">
        <f>Q33</f>
        <v/>
      </c>
      <c r="D34" s="3" t="n">
        <v>1</v>
      </c>
      <c r="E34" s="3" t="n"/>
      <c r="F34" s="3" t="n"/>
      <c r="G34" s="3" t="n"/>
      <c r="H34" s="3" t="n"/>
      <c r="I34" s="3" t="n"/>
      <c r="J34" s="6">
        <f>IF(COUNTA(D34:I34)&gt;0,SUM(D34:I34),IF(K34="", "", K34))</f>
        <v/>
      </c>
      <c r="K34" s="3" t="n"/>
      <c r="L34" s="3" t="n">
        <v>1</v>
      </c>
      <c r="M34" s="4" t="n"/>
      <c r="N34" s="3" t="n"/>
      <c r="O34" s="6">
        <f>IF(COUNTA(L34:N34)&gt;0,SUM(L34:N34),IF(P34="", "", P34))</f>
        <v/>
      </c>
      <c r="P34" s="3" t="n"/>
      <c r="Q34" s="3" t="n"/>
      <c r="R34" s="3" t="n">
        <v>16</v>
      </c>
      <c r="S34" s="6">
        <f>IF(OR(C34="",J34="",O34=""),"",C34+J34-O34)</f>
        <v/>
      </c>
      <c r="T34" s="3" t="n">
        <v>10</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DATE(2025,5,29)</f>
        <v/>
      </c>
      <c r="B35" s="6" t="n">
        <v>29</v>
      </c>
      <c r="C35" s="6">
        <f>Q34</f>
        <v/>
      </c>
      <c r="D35" s="3" t="n">
        <v>2</v>
      </c>
      <c r="E35" s="3" t="n">
        <v>1</v>
      </c>
      <c r="F35" s="3" t="n"/>
      <c r="G35" s="3" t="n"/>
      <c r="H35" s="3" t="n"/>
      <c r="I35" s="3" t="n"/>
      <c r="J35" s="6">
        <f>IF(COUNTA(D35:I35)&gt;0,SUM(D35:I35),IF(K35="", "", K35))</f>
        <v/>
      </c>
      <c r="K35" s="3" t="n"/>
      <c r="L35" s="3" t="n"/>
      <c r="M35" s="4" t="n"/>
      <c r="N35" s="3" t="n"/>
      <c r="O35" s="6">
        <f>IF(COUNTA(L35:N35)&gt;0,SUM(L35:N35),IF(P35="", "", P35))</f>
        <v/>
      </c>
      <c r="P35" s="3" t="n"/>
      <c r="Q35" s="3" t="n"/>
      <c r="R35" s="3" t="n">
        <v>16</v>
      </c>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DATE(2025,5,30)</f>
        <v/>
      </c>
      <c r="B36" s="6" t="n">
        <v>30</v>
      </c>
      <c r="C36" s="6">
        <f>Q35</f>
        <v/>
      </c>
      <c r="D36" s="3" t="n">
        <v>2</v>
      </c>
      <c r="E36" s="3" t="n">
        <v>4</v>
      </c>
      <c r="F36" s="3" t="n"/>
      <c r="G36" s="3" t="n"/>
      <c r="H36" s="3" t="n"/>
      <c r="I36" s="3" t="n"/>
      <c r="J36" s="6">
        <f>IF(COUNTA(D36:I36)&gt;0,SUM(D36:I36),IF(K36="", "", K36))</f>
        <v/>
      </c>
      <c r="K36" s="3" t="n"/>
      <c r="L36" s="3" t="n">
        <v>5</v>
      </c>
      <c r="M36" s="4" t="n"/>
      <c r="N36" s="3" t="n"/>
      <c r="O36" s="6">
        <f>IF(COUNTA(L36:N36)&gt;0,SUM(L36:N36),IF(P36="", "", P36))</f>
        <v/>
      </c>
      <c r="P36" s="3" t="n"/>
      <c r="Q36" s="3" t="n"/>
      <c r="R36" s="3" t="n">
        <v>16</v>
      </c>
      <c r="S36" s="6">
        <f>IF(OR(C36="",J36="",O36=""),"",C36+J36-O36)</f>
        <v/>
      </c>
      <c r="T36" s="3" t="n">
        <v>40</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DATE(2025,5,31)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v>16</v>
      </c>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JUNIO 2025</t>
        </is>
      </c>
    </row>
    <row r="2">
      <c r="A2" s="2" t="inlineStr">
        <is>
          <t>Servicio</t>
        </is>
      </c>
      <c r="B2" s="6">
        <f>01_PARAMETROS!B3</f>
        <v/>
      </c>
      <c r="C2" s="2" t="inlineStr">
        <is>
          <t>Codigo</t>
        </is>
      </c>
      <c r="D2" s="6">
        <f>01_PARAMETROS!B4</f>
        <v/>
      </c>
      <c r="E2" s="2" t="inlineStr">
        <is>
          <t>Mes</t>
        </is>
      </c>
      <c r="F2" s="3" t="inlineStr">
        <is>
          <t>JUNIO</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DATE(2025,6,1)</f>
        <v/>
      </c>
      <c r="B7" s="6" t="n">
        <v>1</v>
      </c>
      <c r="C7" s="3" t="n">
        <v>17</v>
      </c>
      <c r="D7" s="3" t="n"/>
      <c r="E7" s="3" t="n"/>
      <c r="F7" s="3" t="n"/>
      <c r="G7" s="3" t="n"/>
      <c r="H7" s="3" t="n"/>
      <c r="I7" s="3" t="n"/>
      <c r="J7" s="6">
        <f>IF(COUNTA(D7:I7)&gt;0,SUM(D7:I7),IF(K7="", "", K7))</f>
        <v/>
      </c>
      <c r="K7" s="3" t="n"/>
      <c r="L7" s="3" t="n"/>
      <c r="M7" s="4" t="n"/>
      <c r="N7" s="3" t="n"/>
      <c r="O7" s="6">
        <f>IF(COUNTA(L7:N7)&gt;0,SUM(L7:N7),IF(P7="", "", P7))</f>
        <v/>
      </c>
      <c r="P7" s="3" t="n">
        <v>2</v>
      </c>
      <c r="Q7" s="3" t="n"/>
      <c r="R7" s="3" t="n">
        <v>16</v>
      </c>
      <c r="S7" s="6">
        <f>IF(OR(C7="",J7="",O7=""),"",C7+J7-O7)</f>
        <v/>
      </c>
      <c r="T7" s="3" t="n">
        <v>7</v>
      </c>
      <c r="U7" s="3" t="n"/>
      <c r="V7" s="3" t="n"/>
      <c r="W7" s="6">
        <f>IF(Z7=1,"FALTAN DATOS",IF(S7&lt;0,"OCUPACION NEGATIVA",IF(X7=1,"SOBREOCUPACION",IF(Y7&lt;&gt;0,"BALANCE RARO","OK"))))</f>
        <v/>
      </c>
      <c r="X7" s="6">
        <f>IF(AND(R7&lt;&gt;"",S7&gt;R7),1,0)</f>
        <v/>
      </c>
      <c r="Y7" s="6">
        <f>IF(OR(C7="",J7="",O7="",S7=""),"",C7+J7-O7-S7)</f>
        <v/>
      </c>
      <c r="Z7" s="6">
        <f>IF(OR(R7="",A7="",B7="",C7="",J7="",O7=""),1,0)</f>
        <v/>
      </c>
    </row>
    <row r="8">
      <c r="A8" s="6">
        <f>DATE(2025,6,2)</f>
        <v/>
      </c>
      <c r="B8" s="6" t="n">
        <v>2</v>
      </c>
      <c r="C8" s="6">
        <f>Q7</f>
        <v/>
      </c>
      <c r="D8" s="3" t="n"/>
      <c r="E8" s="3" t="n"/>
      <c r="F8" s="3" t="n"/>
      <c r="G8" s="3" t="n"/>
      <c r="H8" s="3" t="n"/>
      <c r="I8" s="3" t="n"/>
      <c r="J8" s="6">
        <f>IF(COUNTA(D8:I8)&gt;0,SUM(D8:I8),IF(K8="", "", K8))</f>
        <v/>
      </c>
      <c r="K8" s="3" t="n">
        <v>3</v>
      </c>
      <c r="L8" s="3" t="n"/>
      <c r="M8" s="4" t="n"/>
      <c r="N8" s="3" t="n"/>
      <c r="O8" s="6">
        <f>IF(COUNTA(L8:N8)&gt;0,SUM(L8:N8),IF(P8="", "", P8))</f>
        <v/>
      </c>
      <c r="P8" s="3" t="n">
        <v>7</v>
      </c>
      <c r="Q8" s="3" t="n"/>
      <c r="R8" s="3" t="n">
        <v>16</v>
      </c>
      <c r="S8" s="6">
        <f>IF(OR(C8="",J8="",O8=""),"",C8+J8-O8)</f>
        <v/>
      </c>
      <c r="T8" s="3" t="n">
        <v>59</v>
      </c>
      <c r="U8" s="3" t="n"/>
      <c r="V8" s="3" t="n"/>
      <c r="W8" s="6">
        <f>IF(Z8=1,"FALTAN DATOS",IF(S8&lt;0,"OCUPACION NEGATIVA",IF(X8=1,"SOBREOCUPACION",IF(Y8&lt;&gt;0,"BALANCE RARO","OK"))))</f>
        <v/>
      </c>
      <c r="X8" s="6">
        <f>IF(AND(R8&lt;&gt;"",S8&gt;R8),1,0)</f>
        <v/>
      </c>
      <c r="Y8" s="6">
        <f>IF(OR(C8="",J8="",O8="",S8=""),"",C8+J8-O8-S8)</f>
        <v/>
      </c>
      <c r="Z8" s="6">
        <f>IF(OR(R8="",A8="",B8="",C8="",J8="",O8=""),1,0)</f>
        <v/>
      </c>
    </row>
    <row r="9">
      <c r="A9" s="6">
        <f>DATE(2025,6,3)</f>
        <v/>
      </c>
      <c r="B9" s="6" t="n">
        <v>3</v>
      </c>
      <c r="C9" s="6">
        <f>Q8</f>
        <v/>
      </c>
      <c r="D9" s="3" t="n"/>
      <c r="E9" s="3" t="n"/>
      <c r="F9" s="3" t="n"/>
      <c r="G9" s="3" t="n"/>
      <c r="H9" s="3" t="n"/>
      <c r="I9" s="3" t="n"/>
      <c r="J9" s="6">
        <f>IF(COUNTA(D9:I9)&gt;0,SUM(D9:I9),IF(K9="", "", K9))</f>
        <v/>
      </c>
      <c r="K9" s="3" t="n">
        <v>5</v>
      </c>
      <c r="L9" s="3" t="n"/>
      <c r="M9" s="4" t="n"/>
      <c r="N9" s="3" t="n"/>
      <c r="O9" s="6">
        <f>IF(COUNTA(L9:N9)&gt;0,SUM(L9:N9),IF(P9="", "", P9))</f>
        <v/>
      </c>
      <c r="P9" s="3" t="n">
        <v>2</v>
      </c>
      <c r="Q9" s="3" t="n"/>
      <c r="R9" s="3" t="n">
        <v>16</v>
      </c>
      <c r="S9" s="6">
        <f>IF(OR(C9="",J9="",O9=""),"",C9+J9-O9)</f>
        <v/>
      </c>
      <c r="T9" s="3" t="n">
        <v>11</v>
      </c>
      <c r="U9" s="3" t="n"/>
      <c r="V9" s="3" t="n"/>
      <c r="W9" s="6">
        <f>IF(Z9=1,"FALTAN DATOS",IF(S9&lt;0,"OCUPACION NEGATIVA",IF(X9=1,"SOBREOCUPACION",IF(Y9&lt;&gt;0,"BALANCE RARO","OK"))))</f>
        <v/>
      </c>
      <c r="X9" s="6">
        <f>IF(AND(R9&lt;&gt;"",S9&gt;R9),1,0)</f>
        <v/>
      </c>
      <c r="Y9" s="6">
        <f>IF(OR(C9="",J9="",O9="",S9=""),"",C9+J9-O9-S9)</f>
        <v/>
      </c>
      <c r="Z9" s="6">
        <f>IF(OR(R9="",A9="",B9="",C9="",J9="",O9=""),1,0)</f>
        <v/>
      </c>
    </row>
    <row r="10">
      <c r="A10" s="6">
        <f>DATE(2025,6,4)</f>
        <v/>
      </c>
      <c r="B10" s="6" t="n">
        <v>4</v>
      </c>
      <c r="C10" s="6">
        <f>Q9</f>
        <v/>
      </c>
      <c r="D10" s="3" t="n"/>
      <c r="E10" s="3" t="n"/>
      <c r="F10" s="3" t="n"/>
      <c r="G10" s="3" t="n"/>
      <c r="H10" s="3" t="n"/>
      <c r="I10" s="3" t="n"/>
      <c r="J10" s="6">
        <f>IF(COUNTA(D10:I10)&gt;0,SUM(D10:I10),IF(K10="", "", K10))</f>
        <v/>
      </c>
      <c r="K10" s="3" t="n">
        <v>1</v>
      </c>
      <c r="L10" s="3" t="n"/>
      <c r="M10" s="4" t="n"/>
      <c r="N10" s="3" t="n"/>
      <c r="O10" s="6">
        <f>IF(COUNTA(L10:N10)&gt;0,SUM(L10:N10),IF(P10="", "", P10))</f>
        <v/>
      </c>
      <c r="P10" s="3" t="n">
        <v>3</v>
      </c>
      <c r="Q10" s="3" t="n"/>
      <c r="R10" s="3" t="n">
        <v>16</v>
      </c>
      <c r="S10" s="6">
        <f>IF(OR(C10="",J10="",O10=""),"",C10+J10-O10)</f>
        <v/>
      </c>
      <c r="T10" s="3" t="n">
        <v>29</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DATE(2025,6,5)</f>
        <v/>
      </c>
      <c r="B11" s="6" t="n">
        <v>5</v>
      </c>
      <c r="C11" s="6">
        <f>Q10</f>
        <v/>
      </c>
      <c r="D11" s="3" t="n"/>
      <c r="E11" s="3" t="n"/>
      <c r="F11" s="3" t="n"/>
      <c r="G11" s="3" t="n"/>
      <c r="H11" s="3" t="n"/>
      <c r="I11" s="3" t="n"/>
      <c r="J11" s="6">
        <f>IF(COUNTA(D11:I11)&gt;0,SUM(D11:I11),IF(K11="", "", K11))</f>
        <v/>
      </c>
      <c r="K11" s="3" t="n">
        <v>1</v>
      </c>
      <c r="L11" s="3" t="n"/>
      <c r="M11" s="4" t="n"/>
      <c r="N11" s="3" t="n"/>
      <c r="O11" s="6">
        <f>IF(COUNTA(L11:N11)&gt;0,SUM(L11:N11),IF(P11="", "", P11))</f>
        <v/>
      </c>
      <c r="P11" s="3" t="n">
        <v>1</v>
      </c>
      <c r="Q11" s="3" t="n"/>
      <c r="R11" s="3" t="n">
        <v>16</v>
      </c>
      <c r="S11" s="6">
        <f>IF(OR(C11="",J11="",O11=""),"",C11+J11-O11)</f>
        <v/>
      </c>
      <c r="T11" s="3" t="n">
        <v>7</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DATE(2025,6,6)</f>
        <v/>
      </c>
      <c r="B12" s="6" t="n">
        <v>6</v>
      </c>
      <c r="C12" s="6">
        <f>Q11</f>
        <v/>
      </c>
      <c r="D12" s="3" t="n"/>
      <c r="E12" s="3" t="n"/>
      <c r="F12" s="3" t="n"/>
      <c r="G12" s="3" t="n"/>
      <c r="H12" s="3" t="n"/>
      <c r="I12" s="3" t="n"/>
      <c r="J12" s="6">
        <f>IF(COUNTA(D12:I12)&gt;0,SUM(D12:I12),IF(K12="", "", K12))</f>
        <v/>
      </c>
      <c r="K12" s="3" t="n">
        <v>2</v>
      </c>
      <c r="L12" s="3" t="n"/>
      <c r="M12" s="4" t="n"/>
      <c r="N12" s="3" t="n"/>
      <c r="O12" s="6">
        <f>IF(COUNTA(L12:N12)&gt;0,SUM(L12:N12),IF(P12="", "", P12))</f>
        <v/>
      </c>
      <c r="P12" s="3" t="n">
        <v>4</v>
      </c>
      <c r="Q12" s="3" t="n"/>
      <c r="R12" s="3" t="n">
        <v>16</v>
      </c>
      <c r="S12" s="6">
        <f>IF(OR(C12="",J12="",O12=""),"",C12+J12-O12)</f>
        <v/>
      </c>
      <c r="T12" s="3" t="n">
        <v>22</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DATE(2025,6,7)</f>
        <v/>
      </c>
      <c r="B13" s="6" t="n">
        <v>7</v>
      </c>
      <c r="C13" s="6">
        <f>Q12</f>
        <v/>
      </c>
      <c r="D13" s="3" t="n"/>
      <c r="E13" s="3" t="n"/>
      <c r="F13" s="3" t="n"/>
      <c r="G13" s="3" t="n"/>
      <c r="H13" s="3" t="n"/>
      <c r="I13" s="3" t="n"/>
      <c r="J13" s="6">
        <f>IF(COUNTA(D13:I13)&gt;0,SUM(D13:I13),IF(K13="", "", K13))</f>
        <v/>
      </c>
      <c r="K13" s="3" t="n">
        <v>1</v>
      </c>
      <c r="L13" s="3" t="n"/>
      <c r="M13" s="4" t="n"/>
      <c r="N13" s="3" t="n"/>
      <c r="O13" s="6">
        <f>IF(COUNTA(L13:N13)&gt;0,SUM(L13:N13),IF(P13="", "", P13))</f>
        <v/>
      </c>
      <c r="P13" s="3" t="n"/>
      <c r="Q13" s="3" t="n"/>
      <c r="R13" s="3" t="n">
        <v>16</v>
      </c>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DATE(2025,6,8)</f>
        <v/>
      </c>
      <c r="B14" s="6" t="n">
        <v>8</v>
      </c>
      <c r="C14" s="6">
        <f>Q13</f>
        <v/>
      </c>
      <c r="D14" s="3" t="n"/>
      <c r="E14" s="3" t="n"/>
      <c r="F14" s="3" t="n"/>
      <c r="G14" s="3" t="n"/>
      <c r="H14" s="3" t="n"/>
      <c r="I14" s="3" t="n"/>
      <c r="J14" s="6">
        <f>IF(COUNTA(D14:I14)&gt;0,SUM(D14:I14),IF(K14="", "", K14))</f>
        <v/>
      </c>
      <c r="K14" s="3" t="n">
        <v>1</v>
      </c>
      <c r="L14" s="3" t="n"/>
      <c r="M14" s="4" t="n"/>
      <c r="N14" s="3" t="n"/>
      <c r="O14" s="6">
        <f>IF(COUNTA(L14:N14)&gt;0,SUM(L14:N14),IF(P14="", "", P14))</f>
        <v/>
      </c>
      <c r="P14" s="3" t="n"/>
      <c r="Q14" s="3" t="n"/>
      <c r="R14" s="3" t="n">
        <v>16</v>
      </c>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DATE(2025,6,9)</f>
        <v/>
      </c>
      <c r="B15" s="6" t="n">
        <v>9</v>
      </c>
      <c r="C15" s="6">
        <f>Q14</f>
        <v/>
      </c>
      <c r="D15" s="3" t="n"/>
      <c r="E15" s="3" t="n"/>
      <c r="F15" s="3" t="n"/>
      <c r="G15" s="3" t="n"/>
      <c r="H15" s="3" t="n"/>
      <c r="I15" s="3" t="n"/>
      <c r="J15" s="6">
        <f>IF(COUNTA(D15:I15)&gt;0,SUM(D15:I15),IF(K15="", "", K15))</f>
        <v/>
      </c>
      <c r="K15" s="3" t="n">
        <v>3</v>
      </c>
      <c r="L15" s="3" t="n"/>
      <c r="M15" s="4" t="n"/>
      <c r="N15" s="3" t="n"/>
      <c r="O15" s="6">
        <f>IF(COUNTA(L15:N15)&gt;0,SUM(L15:N15),IF(P15="", "", P15))</f>
        <v/>
      </c>
      <c r="P15" s="3" t="n">
        <v>2</v>
      </c>
      <c r="Q15" s="3" t="n"/>
      <c r="R15" s="3" t="n">
        <v>16</v>
      </c>
      <c r="S15" s="6">
        <f>IF(OR(C15="",J15="",O15=""),"",C15+J15-O15)</f>
        <v/>
      </c>
      <c r="T15" s="3" t="n">
        <v>17</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DATE(2025,6,10)</f>
        <v/>
      </c>
      <c r="B16" s="6" t="n">
        <v>10</v>
      </c>
      <c r="C16" s="6">
        <f>Q15</f>
        <v/>
      </c>
      <c r="D16" s="3" t="n"/>
      <c r="E16" s="3" t="n"/>
      <c r="F16" s="3" t="n"/>
      <c r="G16" s="3" t="n"/>
      <c r="H16" s="3" t="n"/>
      <c r="I16" s="3" t="n"/>
      <c r="J16" s="6">
        <f>IF(COUNTA(D16:I16)&gt;0,SUM(D16:I16),IF(K16="", "", K16))</f>
        <v/>
      </c>
      <c r="K16" s="3" t="n">
        <v>2</v>
      </c>
      <c r="L16" s="3" t="n"/>
      <c r="M16" s="4" t="n"/>
      <c r="N16" s="3" t="n"/>
      <c r="O16" s="6">
        <f>IF(COUNTA(L16:N16)&gt;0,SUM(L16:N16),IF(P16="", "", P16))</f>
        <v/>
      </c>
      <c r="P16" s="3" t="n">
        <v>1</v>
      </c>
      <c r="Q16" s="3" t="n"/>
      <c r="R16" s="3" t="n">
        <v>16</v>
      </c>
      <c r="S16" s="6">
        <f>IF(OR(C16="",J16="",O16=""),"",C16+J16-O16)</f>
        <v/>
      </c>
      <c r="T16" s="3" t="n">
        <v>6</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DATE(2025,6,11)</f>
        <v/>
      </c>
      <c r="B17" s="6" t="n">
        <v>11</v>
      </c>
      <c r="C17" s="6">
        <f>Q16</f>
        <v/>
      </c>
      <c r="D17" s="3" t="n"/>
      <c r="E17" s="3" t="n"/>
      <c r="F17" s="3" t="n"/>
      <c r="G17" s="3" t="n"/>
      <c r="H17" s="3" t="n"/>
      <c r="I17" s="3" t="n"/>
      <c r="J17" s="6">
        <f>IF(COUNTA(D17:I17)&gt;0,SUM(D17:I17),IF(K17="", "", K17))</f>
        <v/>
      </c>
      <c r="K17" s="3" t="n">
        <v>2</v>
      </c>
      <c r="L17" s="3" t="n"/>
      <c r="M17" s="4" t="n"/>
      <c r="N17" s="3" t="n"/>
      <c r="O17" s="6">
        <f>IF(COUNTA(L17:N17)&gt;0,SUM(L17:N17),IF(P17="", "", P17))</f>
        <v/>
      </c>
      <c r="P17" s="3" t="n">
        <v>4</v>
      </c>
      <c r="Q17" s="3" t="n"/>
      <c r="R17" s="3" t="n">
        <v>16</v>
      </c>
      <c r="S17" s="6">
        <f>IF(OR(C17="",J17="",O17=""),"",C17+J17-O17)</f>
        <v/>
      </c>
      <c r="T17" s="3" t="n">
        <v>23</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DATE(2025,6,12)</f>
        <v/>
      </c>
      <c r="B18" s="6" t="n">
        <v>12</v>
      </c>
      <c r="C18" s="6">
        <f>Q17</f>
        <v/>
      </c>
      <c r="D18" s="3" t="n"/>
      <c r="E18" s="3" t="n"/>
      <c r="F18" s="3" t="n"/>
      <c r="G18" s="3" t="n"/>
      <c r="H18" s="3" t="n"/>
      <c r="I18" s="3" t="n"/>
      <c r="J18" s="6">
        <f>IF(COUNTA(D18:I18)&gt;0,SUM(D18:I18),IF(K18="", "", K18))</f>
        <v/>
      </c>
      <c r="K18" s="3" t="n">
        <v>3</v>
      </c>
      <c r="L18" s="3" t="n"/>
      <c r="M18" s="4" t="n"/>
      <c r="N18" s="3" t="n"/>
      <c r="O18" s="6">
        <f>IF(COUNTA(L18:N18)&gt;0,SUM(L18:N18),IF(P18="", "", P18))</f>
        <v/>
      </c>
      <c r="P18" s="3" t="n"/>
      <c r="Q18" s="3" t="n"/>
      <c r="R18" s="3" t="n">
        <v>16</v>
      </c>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DATE(2025,6,13)</f>
        <v/>
      </c>
      <c r="B19" s="6" t="n">
        <v>13</v>
      </c>
      <c r="C19" s="6">
        <f>Q18</f>
        <v/>
      </c>
      <c r="D19" s="3" t="n"/>
      <c r="E19" s="3" t="n"/>
      <c r="F19" s="3" t="n"/>
      <c r="G19" s="3" t="n"/>
      <c r="H19" s="3" t="n"/>
      <c r="I19" s="3" t="n"/>
      <c r="J19" s="6">
        <f>IF(COUNTA(D19:I19)&gt;0,SUM(D19:I19),IF(K19="", "", K19))</f>
        <v/>
      </c>
      <c r="K19" s="3" t="n">
        <v>4</v>
      </c>
      <c r="L19" s="3" t="n"/>
      <c r="M19" s="4" t="n"/>
      <c r="N19" s="3" t="n"/>
      <c r="O19" s="6">
        <f>IF(COUNTA(L19:N19)&gt;0,SUM(L19:N19),IF(P19="", "", P19))</f>
        <v/>
      </c>
      <c r="P19" s="3" t="n">
        <v>5</v>
      </c>
      <c r="Q19" s="3" t="n"/>
      <c r="R19" s="3" t="n">
        <v>16</v>
      </c>
      <c r="S19" s="6">
        <f>IF(OR(C19="",J19="",O19=""),"",C19+J19-O19)</f>
        <v/>
      </c>
      <c r="T19" s="3" t="n">
        <v>34</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DATE(2025,6,14)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v>16</v>
      </c>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DATE(2025,6,15)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v>16</v>
      </c>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DATE(2025,6,16)</f>
        <v/>
      </c>
      <c r="B22" s="6" t="n">
        <v>16</v>
      </c>
      <c r="C22" s="6">
        <f>Q21</f>
        <v/>
      </c>
      <c r="D22" s="3" t="n"/>
      <c r="E22" s="3" t="n"/>
      <c r="F22" s="3" t="n"/>
      <c r="G22" s="3" t="n"/>
      <c r="H22" s="3" t="n"/>
      <c r="I22" s="3" t="n"/>
      <c r="J22" s="6">
        <f>IF(COUNTA(D22:I22)&gt;0,SUM(D22:I22),IF(K22="", "", K22))</f>
        <v/>
      </c>
      <c r="K22" s="3" t="n">
        <v>1</v>
      </c>
      <c r="L22" s="3" t="n"/>
      <c r="M22" s="4" t="n"/>
      <c r="N22" s="3" t="n"/>
      <c r="O22" s="6">
        <f>IF(COUNTA(L22:N22)&gt;0,SUM(L22:N22),IF(P22="", "", P22))</f>
        <v/>
      </c>
      <c r="P22" s="3" t="n">
        <v>6</v>
      </c>
      <c r="Q22" s="3" t="n"/>
      <c r="R22" s="3" t="n">
        <v>16</v>
      </c>
      <c r="S22" s="6">
        <f>IF(OR(C22="",J22="",O22=""),"",C22+J22-O22)</f>
        <v/>
      </c>
      <c r="T22" s="3" t="n">
        <v>42</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DATE(2025,6,17)</f>
        <v/>
      </c>
      <c r="B23" s="6" t="n">
        <v>17</v>
      </c>
      <c r="C23" s="6">
        <f>Q22</f>
        <v/>
      </c>
      <c r="D23" s="3" t="n"/>
      <c r="E23" s="3" t="n"/>
      <c r="F23" s="3" t="n"/>
      <c r="G23" s="3" t="n"/>
      <c r="H23" s="3" t="n"/>
      <c r="I23" s="3" t="n"/>
      <c r="J23" s="6">
        <f>IF(COUNTA(D23:I23)&gt;0,SUM(D23:I23),IF(K23="", "", K23))</f>
        <v/>
      </c>
      <c r="K23" s="3" t="n">
        <v>1</v>
      </c>
      <c r="L23" s="3" t="n"/>
      <c r="M23" s="4" t="n"/>
      <c r="N23" s="3" t="n"/>
      <c r="O23" s="6">
        <f>IF(COUNTA(L23:N23)&gt;0,SUM(L23:N23),IF(P23="", "", P23))</f>
        <v/>
      </c>
      <c r="P23" s="3" t="n"/>
      <c r="Q23" s="3" t="n"/>
      <c r="R23" s="3" t="n">
        <v>16</v>
      </c>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DATE(2025,6,18)</f>
        <v/>
      </c>
      <c r="B24" s="6" t="n">
        <v>18</v>
      </c>
      <c r="C24" s="6">
        <f>Q23</f>
        <v/>
      </c>
      <c r="D24" s="3" t="n"/>
      <c r="E24" s="3" t="n"/>
      <c r="F24" s="3" t="n"/>
      <c r="G24" s="3" t="n"/>
      <c r="H24" s="3" t="n"/>
      <c r="I24" s="3" t="n"/>
      <c r="J24" s="6">
        <f>IF(COUNTA(D24:I24)&gt;0,SUM(D24:I24),IF(K24="", "", K24))</f>
        <v/>
      </c>
      <c r="K24" s="3" t="n">
        <v>4</v>
      </c>
      <c r="L24" s="3" t="n"/>
      <c r="M24" s="4" t="n"/>
      <c r="N24" s="3" t="n"/>
      <c r="O24" s="6">
        <f>IF(COUNTA(L24:N24)&gt;0,SUM(L24:N24),IF(P24="", "", P24))</f>
        <v/>
      </c>
      <c r="P24" s="3" t="n">
        <v>4</v>
      </c>
      <c r="Q24" s="3" t="n"/>
      <c r="R24" s="3" t="n">
        <v>16</v>
      </c>
      <c r="S24" s="6">
        <f>IF(OR(C24="",J24="",O24=""),"",C24+J24-O24)</f>
        <v/>
      </c>
      <c r="T24" s="3" t="n">
        <v>39</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DATE(2025,6,19)</f>
        <v/>
      </c>
      <c r="B25" s="6" t="n">
        <v>19</v>
      </c>
      <c r="C25" s="6">
        <f>Q24</f>
        <v/>
      </c>
      <c r="D25" s="3" t="n"/>
      <c r="E25" s="3" t="n"/>
      <c r="F25" s="3" t="n"/>
      <c r="G25" s="3" t="n"/>
      <c r="H25" s="3" t="n"/>
      <c r="I25" s="3" t="n"/>
      <c r="J25" s="6">
        <f>IF(COUNTA(D25:I25)&gt;0,SUM(D25:I25),IF(K25="", "", K25))</f>
        <v/>
      </c>
      <c r="K25" s="3" t="n">
        <v>2</v>
      </c>
      <c r="L25" s="3" t="n"/>
      <c r="M25" s="4" t="n"/>
      <c r="N25" s="3" t="n"/>
      <c r="O25" s="6">
        <f>IF(COUNTA(L25:N25)&gt;0,SUM(L25:N25),IF(P25="", "", P25))</f>
        <v/>
      </c>
      <c r="P25" s="3" t="n">
        <v>2</v>
      </c>
      <c r="Q25" s="3" t="n"/>
      <c r="R25" s="3" t="n">
        <v>16</v>
      </c>
      <c r="S25" s="6">
        <f>IF(OR(C25="",J25="",O25=""),"",C25+J25-O25)</f>
        <v/>
      </c>
      <c r="T25" s="3" t="n">
        <v>12</v>
      </c>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DATE(2025,6,20)</f>
        <v/>
      </c>
      <c r="B26" s="6" t="n">
        <v>20</v>
      </c>
      <c r="C26" s="6">
        <f>Q25</f>
        <v/>
      </c>
      <c r="D26" s="3" t="n"/>
      <c r="E26" s="3" t="n"/>
      <c r="F26" s="3" t="n"/>
      <c r="G26" s="3" t="n"/>
      <c r="H26" s="3" t="n"/>
      <c r="I26" s="3" t="n"/>
      <c r="J26" s="6">
        <f>IF(COUNTA(D26:I26)&gt;0,SUM(D26:I26),IF(K26="", "", K26))</f>
        <v/>
      </c>
      <c r="K26" s="3" t="n">
        <v>2</v>
      </c>
      <c r="L26" s="3" t="n"/>
      <c r="M26" s="4" t="n"/>
      <c r="N26" s="3" t="n"/>
      <c r="O26" s="6">
        <f>IF(COUNTA(L26:N26)&gt;0,SUM(L26:N26),IF(P26="", "", P26))</f>
        <v/>
      </c>
      <c r="P26" s="3" t="n"/>
      <c r="Q26" s="3" t="n"/>
      <c r="R26" s="3" t="n">
        <v>16</v>
      </c>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DATE(2025,6,21)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v>16</v>
      </c>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DATE(2025,6,22)</f>
        <v/>
      </c>
      <c r="B28" s="6" t="n">
        <v>22</v>
      </c>
      <c r="C28" s="6">
        <f>Q27</f>
        <v/>
      </c>
      <c r="D28" s="3" t="n"/>
      <c r="E28" s="3" t="n"/>
      <c r="F28" s="3" t="n"/>
      <c r="G28" s="3" t="n"/>
      <c r="H28" s="3" t="n"/>
      <c r="I28" s="3" t="n"/>
      <c r="J28" s="6">
        <f>IF(COUNTA(D28:I28)&gt;0,SUM(D28:I28),IF(K28="", "", K28))</f>
        <v/>
      </c>
      <c r="K28" s="3" t="n">
        <v>1</v>
      </c>
      <c r="L28" s="3" t="n"/>
      <c r="M28" s="4" t="n"/>
      <c r="N28" s="3" t="n"/>
      <c r="O28" s="6">
        <f>IF(COUNTA(L28:N28)&gt;0,SUM(L28:N28),IF(P28="", "", P28))</f>
        <v/>
      </c>
      <c r="P28" s="3" t="n"/>
      <c r="Q28" s="3" t="n"/>
      <c r="R28" s="3" t="n">
        <v>16</v>
      </c>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DATE(2025,6,23)</f>
        <v/>
      </c>
      <c r="B29" s="6" t="n">
        <v>23</v>
      </c>
      <c r="C29" s="6">
        <f>Q28</f>
        <v/>
      </c>
      <c r="D29" s="3" t="n"/>
      <c r="E29" s="3" t="n"/>
      <c r="F29" s="3" t="n"/>
      <c r="G29" s="3" t="n"/>
      <c r="H29" s="3" t="n"/>
      <c r="I29" s="3" t="n"/>
      <c r="J29" s="6">
        <f>IF(COUNTA(D29:I29)&gt;0,SUM(D29:I29),IF(K29="", "", K29))</f>
        <v/>
      </c>
      <c r="K29" s="3" t="n">
        <v>5</v>
      </c>
      <c r="L29" s="3" t="n"/>
      <c r="M29" s="4" t="n"/>
      <c r="N29" s="3" t="n"/>
      <c r="O29" s="6">
        <f>IF(COUNTA(L29:N29)&gt;0,SUM(L29:N29),IF(P29="", "", P29))</f>
        <v/>
      </c>
      <c r="P29" s="3" t="n">
        <v>2</v>
      </c>
      <c r="Q29" s="3" t="n"/>
      <c r="R29" s="3" t="n">
        <v>16</v>
      </c>
      <c r="S29" s="6">
        <f>IF(OR(C29="",J29="",O29=""),"",C29+J29-O29)</f>
        <v/>
      </c>
      <c r="T29" s="3" t="n">
        <v>21</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DATE(2025,6,24)</f>
        <v/>
      </c>
      <c r="B30" s="6" t="n">
        <v>24</v>
      </c>
      <c r="C30" s="6">
        <f>Q29</f>
        <v/>
      </c>
      <c r="D30" s="3" t="n"/>
      <c r="E30" s="3" t="n"/>
      <c r="F30" s="3" t="n"/>
      <c r="G30" s="3" t="n"/>
      <c r="H30" s="3" t="n"/>
      <c r="I30" s="3" t="n"/>
      <c r="J30" s="6">
        <f>IF(COUNTA(D30:I30)&gt;0,SUM(D30:I30),IF(K30="", "", K30))</f>
        <v/>
      </c>
      <c r="K30" s="3" t="n">
        <v>2</v>
      </c>
      <c r="L30" s="3" t="n"/>
      <c r="M30" s="4" t="n"/>
      <c r="N30" s="3" t="n"/>
      <c r="O30" s="6">
        <f>IF(COUNTA(L30:N30)&gt;0,SUM(L30:N30),IF(P30="", "", P30))</f>
        <v/>
      </c>
      <c r="P30" s="3" t="n">
        <v>3</v>
      </c>
      <c r="Q30" s="3" t="n"/>
      <c r="R30" s="3" t="n">
        <v>16</v>
      </c>
      <c r="S30" s="6">
        <f>IF(OR(C30="",J30="",O30=""),"",C30+J30-O30)</f>
        <v/>
      </c>
      <c r="T30" s="3" t="n">
        <v>21</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DATE(2025,6,25)</f>
        <v/>
      </c>
      <c r="B31" s="6" t="n">
        <v>25</v>
      </c>
      <c r="C31" s="6">
        <f>Q30</f>
        <v/>
      </c>
      <c r="D31" s="3" t="n"/>
      <c r="E31" s="3" t="n"/>
      <c r="F31" s="3" t="n"/>
      <c r="G31" s="3" t="n"/>
      <c r="H31" s="3" t="n"/>
      <c r="I31" s="3" t="n"/>
      <c r="J31" s="6">
        <f>IF(COUNTA(D31:I31)&gt;0,SUM(D31:I31),IF(K31="", "", K31))</f>
        <v/>
      </c>
      <c r="K31" s="3" t="n">
        <v>2</v>
      </c>
      <c r="L31" s="3" t="n"/>
      <c r="M31" s="4" t="n"/>
      <c r="N31" s="3" t="n"/>
      <c r="O31" s="6">
        <f>IF(COUNTA(L31:N31)&gt;0,SUM(L31:N31),IF(P31="", "", P31))</f>
        <v/>
      </c>
      <c r="P31" s="3" t="n">
        <v>1</v>
      </c>
      <c r="Q31" s="3" t="n"/>
      <c r="R31" s="3" t="n">
        <v>16</v>
      </c>
      <c r="S31" s="6">
        <f>IF(OR(C31="",J31="",O31=""),"",C31+J31-O31)</f>
        <v/>
      </c>
      <c r="T31" s="3" t="n">
        <v>12</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DATE(2025,6,26)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v>16</v>
      </c>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DATE(2025,6,27)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v>16</v>
      </c>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DATE(2025,6,28)</f>
        <v/>
      </c>
      <c r="B34" s="6" t="n">
        <v>28</v>
      </c>
      <c r="C34" s="6">
        <f>Q33</f>
        <v/>
      </c>
      <c r="D34" s="3" t="n"/>
      <c r="E34" s="3" t="n"/>
      <c r="F34" s="3" t="n"/>
      <c r="G34" s="3" t="n"/>
      <c r="H34" s="3" t="n"/>
      <c r="I34" s="3" t="n"/>
      <c r="J34" s="6">
        <f>IF(COUNTA(D34:I34)&gt;0,SUM(D34:I34),IF(K34="", "", K34))</f>
        <v/>
      </c>
      <c r="K34" s="3" t="n">
        <v>1</v>
      </c>
      <c r="L34" s="3" t="n"/>
      <c r="M34" s="4" t="n"/>
      <c r="N34" s="3" t="n"/>
      <c r="O34" s="6">
        <f>IF(COUNTA(L34:N34)&gt;0,SUM(L34:N34),IF(P34="", "", P34))</f>
        <v/>
      </c>
      <c r="P34" s="3" t="n"/>
      <c r="Q34" s="3" t="n"/>
      <c r="R34" s="3" t="n">
        <v>16</v>
      </c>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DATE(2025,6,29)</f>
        <v/>
      </c>
      <c r="B35" s="6" t="n">
        <v>29</v>
      </c>
      <c r="C35" s="6">
        <f>Q34</f>
        <v/>
      </c>
      <c r="D35" s="3" t="n"/>
      <c r="E35" s="3" t="n"/>
      <c r="F35" s="3" t="n"/>
      <c r="G35" s="3" t="n"/>
      <c r="H35" s="3" t="n"/>
      <c r="I35" s="3" t="n"/>
      <c r="J35" s="6">
        <f>IF(COUNTA(D35:I35)&gt;0,SUM(D35:I35),IF(K35="", "", K35))</f>
        <v/>
      </c>
      <c r="K35" s="3" t="n">
        <v>1</v>
      </c>
      <c r="L35" s="3" t="n"/>
      <c r="M35" s="4" t="n"/>
      <c r="N35" s="3" t="n"/>
      <c r="O35" s="6">
        <f>IF(COUNTA(L35:N35)&gt;0,SUM(L35:N35),IF(P35="", "", P35))</f>
        <v/>
      </c>
      <c r="P35" s="3" t="n"/>
      <c r="Q35" s="3" t="n"/>
      <c r="R35" s="3" t="n">
        <v>16</v>
      </c>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DATE(2025,6,30)</f>
        <v/>
      </c>
      <c r="B36" s="6" t="n">
        <v>30</v>
      </c>
      <c r="C36" s="6">
        <f>Q35</f>
        <v/>
      </c>
      <c r="D36" s="3" t="n"/>
      <c r="E36" s="3" t="n"/>
      <c r="F36" s="3" t="n"/>
      <c r="G36" s="3" t="n"/>
      <c r="H36" s="3" t="n"/>
      <c r="I36" s="3" t="n"/>
      <c r="J36" s="6">
        <f>IF(COUNTA(D36:I36)&gt;0,SUM(D36:I36),IF(K36="", "", K36))</f>
        <v/>
      </c>
      <c r="K36" s="3" t="n">
        <v>2</v>
      </c>
      <c r="L36" s="3" t="n"/>
      <c r="M36" s="4" t="n"/>
      <c r="N36" s="3" t="n"/>
      <c r="O36" s="6">
        <f>IF(COUNTA(L36:N36)&gt;0,SUM(L36:N36),IF(P36="", "", P36))</f>
        <v/>
      </c>
      <c r="P36" s="3" t="n">
        <v>4</v>
      </c>
      <c r="Q36" s="3" t="n"/>
      <c r="R36" s="3" t="n">
        <v>16</v>
      </c>
      <c r="S36" s="6">
        <f>IF(OR(C36="",J36="",O36=""),"",C36+J36-O36)</f>
        <v/>
      </c>
      <c r="T36" s="3" t="n">
        <v>36</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JULIO 2025</t>
        </is>
      </c>
    </row>
    <row r="2">
      <c r="A2" s="2" t="inlineStr">
        <is>
          <t>Servicio</t>
        </is>
      </c>
      <c r="B2" s="6">
        <f>01_PARAMETROS!B3</f>
        <v/>
      </c>
      <c r="C2" s="2" t="inlineStr">
        <is>
          <t>Codigo</t>
        </is>
      </c>
      <c r="D2" s="6">
        <f>01_PARAMETROS!B4</f>
        <v/>
      </c>
      <c r="E2" s="2" t="inlineStr">
        <is>
          <t>Mes</t>
        </is>
      </c>
      <c r="F2" s="3" t="inlineStr">
        <is>
          <t>JULIO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DATE(2025,7,1)</f>
        <v/>
      </c>
      <c r="B7" s="6" t="n">
        <v>1</v>
      </c>
      <c r="C7" s="3" t="n">
        <v>16</v>
      </c>
      <c r="D7" s="3" t="n"/>
      <c r="E7" s="3" t="n"/>
      <c r="F7" s="3" t="n"/>
      <c r="G7" s="3" t="n"/>
      <c r="H7" s="3" t="n"/>
      <c r="I7" s="3" t="n"/>
      <c r="J7" s="6">
        <f>IF(COUNTA(D7:I7)&gt;0,SUM(D7:I7),IF(K7="", "", K7))</f>
        <v/>
      </c>
      <c r="K7" s="3" t="n">
        <v>3</v>
      </c>
      <c r="L7" s="3" t="n"/>
      <c r="M7" s="4" t="n"/>
      <c r="N7" s="3" t="n"/>
      <c r="O7" s="6">
        <f>IF(COUNTA(L7:N7)&gt;0,SUM(L7:N7),IF(P7="", "", P7))</f>
        <v/>
      </c>
      <c r="P7" s="3" t="n">
        <v>6</v>
      </c>
      <c r="Q7" s="3" t="n"/>
      <c r="R7" s="3" t="n">
        <v>16</v>
      </c>
      <c r="S7" s="6">
        <f>IF(OR(C7="",J7="",O7=""),"",C7+J7-O7)</f>
        <v/>
      </c>
      <c r="T7" s="3" t="n">
        <v>62</v>
      </c>
      <c r="U7" s="3" t="n"/>
      <c r="V7" s="3" t="n"/>
      <c r="W7" s="6">
        <f>IF(Z7=1,"FALTAN DATOS",IF(S7&lt;0,"OCUPACION NEGATIVA",IF(X7=1,"SOBREOCUPACION",IF(Y7&lt;&gt;0,"BALANCE RARO","OK"))))</f>
        <v/>
      </c>
      <c r="X7" s="6">
        <f>IF(AND(R7&lt;&gt;"",S7&gt;R7),1,0)</f>
        <v/>
      </c>
      <c r="Y7" s="6">
        <f>IF(OR(C7="",J7="",O7="",S7=""),"",C7+J7-O7-S7)</f>
        <v/>
      </c>
      <c r="Z7" s="6">
        <f>IF(OR(R7="",A7="",B7="",C7="",J7="",O7=""),1,0)</f>
        <v/>
      </c>
    </row>
    <row r="8">
      <c r="A8" s="6">
        <f>DATE(2025,7,2)</f>
        <v/>
      </c>
      <c r="B8" s="6" t="n">
        <v>2</v>
      </c>
      <c r="C8" s="6">
        <f>Q7</f>
        <v/>
      </c>
      <c r="D8" s="3" t="n"/>
      <c r="E8" s="3" t="n"/>
      <c r="F8" s="3" t="n"/>
      <c r="G8" s="3" t="n"/>
      <c r="H8" s="3" t="n"/>
      <c r="I8" s="3" t="n"/>
      <c r="J8" s="6">
        <f>IF(COUNTA(D8:I8)&gt;0,SUM(D8:I8),IF(K8="", "", K8))</f>
        <v/>
      </c>
      <c r="K8" s="3" t="n">
        <v>3</v>
      </c>
      <c r="L8" s="3" t="n"/>
      <c r="M8" s="4" t="n"/>
      <c r="N8" s="3" t="n"/>
      <c r="O8" s="6">
        <f>IF(COUNTA(L8:N8)&gt;0,SUM(L8:N8),IF(P8="", "", P8))</f>
        <v/>
      </c>
      <c r="P8" s="3" t="n">
        <v>1</v>
      </c>
      <c r="Q8" s="3" t="n"/>
      <c r="R8" s="3" t="n">
        <v>16</v>
      </c>
      <c r="S8" s="6">
        <f>IF(OR(C8="",J8="",O8=""),"",C8+J8-O8)</f>
        <v/>
      </c>
      <c r="T8" s="3" t="n">
        <v>7</v>
      </c>
      <c r="U8" s="3" t="n"/>
      <c r="V8" s="3" t="n"/>
      <c r="W8" s="6">
        <f>IF(Z8=1,"FALTAN DATOS",IF(S8&lt;0,"OCUPACION NEGATIVA",IF(X8=1,"SOBREOCUPACION",IF(Y8&lt;&gt;0,"BALANCE RARO","OK"))))</f>
        <v/>
      </c>
      <c r="X8" s="6">
        <f>IF(AND(R8&lt;&gt;"",S8&gt;R8),1,0)</f>
        <v/>
      </c>
      <c r="Y8" s="6">
        <f>IF(OR(C8="",J8="",O8="",S8=""),"",C8+J8-O8-S8)</f>
        <v/>
      </c>
      <c r="Z8" s="6">
        <f>IF(OR(R8="",A8="",B8="",C8="",J8="",O8=""),1,0)</f>
        <v/>
      </c>
    </row>
    <row r="9">
      <c r="A9" s="6">
        <f>DATE(2025,7,3)</f>
        <v/>
      </c>
      <c r="B9" s="6" t="n">
        <v>3</v>
      </c>
      <c r="C9" s="6">
        <f>Q8</f>
        <v/>
      </c>
      <c r="D9" s="3" t="n"/>
      <c r="E9" s="3" t="n"/>
      <c r="F9" s="3" t="n"/>
      <c r="G9" s="3" t="n"/>
      <c r="H9" s="3" t="n"/>
      <c r="I9" s="3" t="n"/>
      <c r="J9" s="6">
        <f>IF(COUNTA(D9:I9)&gt;0,SUM(D9:I9),IF(K9="", "", K9))</f>
        <v/>
      </c>
      <c r="K9" s="3" t="n">
        <v>2</v>
      </c>
      <c r="L9" s="3" t="n"/>
      <c r="M9" s="4" t="n"/>
      <c r="N9" s="3" t="n"/>
      <c r="O9" s="6">
        <f>IF(COUNTA(L9:N9)&gt;0,SUM(L9:N9),IF(P9="", "", P9))</f>
        <v/>
      </c>
      <c r="P9" s="3" t="n">
        <v>3</v>
      </c>
      <c r="Q9" s="3" t="n"/>
      <c r="R9" s="3" t="n">
        <v>16</v>
      </c>
      <c r="S9" s="6">
        <f>IF(OR(C9="",J9="",O9=""),"",C9+J9-O9)</f>
        <v/>
      </c>
      <c r="T9" s="3" t="n">
        <v>31</v>
      </c>
      <c r="U9" s="3" t="n"/>
      <c r="V9" s="3" t="n"/>
      <c r="W9" s="6">
        <f>IF(Z9=1,"FALTAN DATOS",IF(S9&lt;0,"OCUPACION NEGATIVA",IF(X9=1,"SOBREOCUPACION",IF(Y9&lt;&gt;0,"BALANCE RARO","OK"))))</f>
        <v/>
      </c>
      <c r="X9" s="6">
        <f>IF(AND(R9&lt;&gt;"",S9&gt;R9),1,0)</f>
        <v/>
      </c>
      <c r="Y9" s="6">
        <f>IF(OR(C9="",J9="",O9="",S9=""),"",C9+J9-O9-S9)</f>
        <v/>
      </c>
      <c r="Z9" s="6">
        <f>IF(OR(R9="",A9="",B9="",C9="",J9="",O9=""),1,0)</f>
        <v/>
      </c>
    </row>
    <row r="10">
      <c r="A10" s="6">
        <f>DATE(2025,7,4)</f>
        <v/>
      </c>
      <c r="B10" s="6" t="n">
        <v>4</v>
      </c>
      <c r="C10" s="6">
        <f>Q9</f>
        <v/>
      </c>
      <c r="D10" s="3" t="n"/>
      <c r="E10" s="3" t="n"/>
      <c r="F10" s="3" t="n"/>
      <c r="G10" s="3" t="n"/>
      <c r="H10" s="3" t="n"/>
      <c r="I10" s="3" t="n"/>
      <c r="J10" s="6">
        <f>IF(COUNTA(D10:I10)&gt;0,SUM(D10:I10),IF(K10="", "", K10))</f>
        <v/>
      </c>
      <c r="K10" s="3" t="n">
        <v>3</v>
      </c>
      <c r="L10" s="3" t="n"/>
      <c r="M10" s="4" t="n"/>
      <c r="N10" s="3" t="n"/>
      <c r="O10" s="6">
        <f>IF(COUNTA(L10:N10)&gt;0,SUM(L10:N10),IF(P10="", "", P10))</f>
        <v/>
      </c>
      <c r="P10" s="3" t="n">
        <v>1</v>
      </c>
      <c r="Q10" s="3" t="n"/>
      <c r="R10" s="3" t="n">
        <v>16</v>
      </c>
      <c r="S10" s="6">
        <f>IF(OR(C10="",J10="",O10=""),"",C10+J10-O10)</f>
        <v/>
      </c>
      <c r="T10" s="3" t="n">
        <v>11</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DATE(2025,7,5)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v>16</v>
      </c>
      <c r="S11" s="6">
        <f>IF(OR(C11="",J11="",O11=""),"",C11+J11-O11)</f>
        <v/>
      </c>
      <c r="T11" s="3" t="n">
        <v>0</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DATE(2025,7,6)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v>16</v>
      </c>
      <c r="S12" s="6">
        <f>IF(OR(C12="",J12="",O12=""),"",C12+J12-O12)</f>
        <v/>
      </c>
      <c r="T12" s="3" t="n">
        <v>0</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DATE(2025,7,7)</f>
        <v/>
      </c>
      <c r="B13" s="6" t="n">
        <v>7</v>
      </c>
      <c r="C13" s="6">
        <f>Q12</f>
        <v/>
      </c>
      <c r="D13" s="3" t="n"/>
      <c r="E13" s="3" t="n"/>
      <c r="F13" s="3" t="n"/>
      <c r="G13" s="3" t="n"/>
      <c r="H13" s="3" t="n"/>
      <c r="I13" s="3" t="n"/>
      <c r="J13" s="6">
        <f>IF(COUNTA(D13:I13)&gt;0,SUM(D13:I13),IF(K13="", "", K13))</f>
        <v/>
      </c>
      <c r="K13" s="3" t="n">
        <v>4</v>
      </c>
      <c r="L13" s="3" t="n"/>
      <c r="M13" s="4" t="n"/>
      <c r="N13" s="3" t="n"/>
      <c r="O13" s="6">
        <f>IF(COUNTA(L13:N13)&gt;0,SUM(L13:N13),IF(P13="", "", P13))</f>
        <v/>
      </c>
      <c r="P13" s="3" t="n">
        <v>7</v>
      </c>
      <c r="Q13" s="3" t="n"/>
      <c r="R13" s="3" t="n">
        <v>16</v>
      </c>
      <c r="S13" s="6">
        <f>IF(OR(C13="",J13="",O13=""),"",C13+J13-O13)</f>
        <v/>
      </c>
      <c r="T13" s="3" t="n">
        <v>53</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DATE(2025,7,8)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v>16</v>
      </c>
      <c r="S14" s="6">
        <f>IF(OR(C14="",J14="",O14=""),"",C14+J14-O14)</f>
        <v/>
      </c>
      <c r="T14" s="3" t="n">
        <v>0</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DATE(2025,7,9)</f>
        <v/>
      </c>
      <c r="B15" s="6" t="n">
        <v>9</v>
      </c>
      <c r="C15" s="6">
        <f>Q14</f>
        <v/>
      </c>
      <c r="D15" s="3" t="n"/>
      <c r="E15" s="3" t="n"/>
      <c r="F15" s="3" t="n"/>
      <c r="G15" s="3" t="n"/>
      <c r="H15" s="3" t="n"/>
      <c r="I15" s="3" t="n"/>
      <c r="J15" s="6">
        <f>IF(COUNTA(D15:I15)&gt;0,SUM(D15:I15),IF(K15="", "", K15))</f>
        <v/>
      </c>
      <c r="K15" s="3" t="n">
        <v>3</v>
      </c>
      <c r="L15" s="3" t="n"/>
      <c r="M15" s="4" t="n"/>
      <c r="N15" s="3" t="n"/>
      <c r="O15" s="6">
        <f>IF(COUNTA(L15:N15)&gt;0,SUM(L15:N15),IF(P15="", "", P15))</f>
        <v/>
      </c>
      <c r="P15" s="3" t="n">
        <v>3</v>
      </c>
      <c r="Q15" s="3" t="n"/>
      <c r="R15" s="3" t="n">
        <v>16</v>
      </c>
      <c r="S15" s="6">
        <f>IF(OR(C15="",J15="",O15=""),"",C15+J15-O15)</f>
        <v/>
      </c>
      <c r="T15" s="3" t="n">
        <v>27</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DATE(2025,7,10)</f>
        <v/>
      </c>
      <c r="B16" s="6" t="n">
        <v>10</v>
      </c>
      <c r="C16" s="6">
        <f>Q15</f>
        <v/>
      </c>
      <c r="D16" s="3" t="n"/>
      <c r="E16" s="3" t="n"/>
      <c r="F16" s="3" t="n"/>
      <c r="G16" s="3" t="n"/>
      <c r="H16" s="3" t="n"/>
      <c r="I16" s="3" t="n"/>
      <c r="J16" s="6">
        <f>IF(COUNTA(D16:I16)&gt;0,SUM(D16:I16),IF(K16="", "", K16))</f>
        <v/>
      </c>
      <c r="K16" s="3" t="n">
        <v>2</v>
      </c>
      <c r="L16" s="3" t="n"/>
      <c r="M16" s="4" t="n"/>
      <c r="N16" s="3" t="n"/>
      <c r="O16" s="6">
        <f>IF(COUNTA(L16:N16)&gt;0,SUM(L16:N16),IF(P16="", "", P16))</f>
        <v/>
      </c>
      <c r="P16" s="3" t="n"/>
      <c r="Q16" s="3" t="n"/>
      <c r="R16" s="3" t="n">
        <v>16</v>
      </c>
      <c r="S16" s="6">
        <f>IF(OR(C16="",J16="",O16=""),"",C16+J16-O16)</f>
        <v/>
      </c>
      <c r="T16" s="3" t="n">
        <v>0</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DATE(2025,7,11)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v>16</v>
      </c>
      <c r="S17" s="6">
        <f>IF(OR(C17="",J17="",O17=""),"",C17+J17-O17)</f>
        <v/>
      </c>
      <c r="T17" s="3" t="n">
        <v>0</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DATE(2025,7,12)</f>
        <v/>
      </c>
      <c r="B18" s="6" t="n">
        <v>12</v>
      </c>
      <c r="C18" s="6">
        <f>Q17</f>
        <v/>
      </c>
      <c r="D18" s="3" t="n"/>
      <c r="E18" s="3" t="n"/>
      <c r="F18" s="3" t="n"/>
      <c r="G18" s="3" t="n"/>
      <c r="H18" s="3" t="n"/>
      <c r="I18" s="3" t="n"/>
      <c r="J18" s="6">
        <f>IF(COUNTA(D18:I18)&gt;0,SUM(D18:I18),IF(K18="", "", K18))</f>
        <v/>
      </c>
      <c r="K18" s="3" t="n">
        <v>2</v>
      </c>
      <c r="L18" s="3" t="n"/>
      <c r="M18" s="4" t="n"/>
      <c r="N18" s="3" t="n"/>
      <c r="O18" s="6">
        <f>IF(COUNTA(L18:N18)&gt;0,SUM(L18:N18),IF(P18="", "", P18))</f>
        <v/>
      </c>
      <c r="P18" s="3" t="n">
        <v>2</v>
      </c>
      <c r="Q18" s="3" t="n"/>
      <c r="R18" s="3" t="n">
        <v>16</v>
      </c>
      <c r="S18" s="6">
        <f>IF(OR(C18="",J18="",O18=""),"",C18+J18-O18)</f>
        <v/>
      </c>
      <c r="T18" s="3" t="n">
        <v>11</v>
      </c>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DATE(2025,7,13)</f>
        <v/>
      </c>
      <c r="B19" s="6" t="n">
        <v>13</v>
      </c>
      <c r="C19" s="6">
        <f>Q18</f>
        <v/>
      </c>
      <c r="D19" s="3" t="n"/>
      <c r="E19" s="3" t="n"/>
      <c r="F19" s="3" t="n"/>
      <c r="G19" s="3" t="n"/>
      <c r="H19" s="3" t="n"/>
      <c r="I19" s="3" t="n"/>
      <c r="J19" s="6">
        <f>IF(COUNTA(D19:I19)&gt;0,SUM(D19:I19),IF(K19="", "", K19))</f>
        <v/>
      </c>
      <c r="K19" s="3" t="n">
        <v>1</v>
      </c>
      <c r="L19" s="3" t="n"/>
      <c r="M19" s="4" t="n"/>
      <c r="N19" s="3" t="n"/>
      <c r="O19" s="6">
        <f>IF(COUNTA(L19:N19)&gt;0,SUM(L19:N19),IF(P19="", "", P19))</f>
        <v/>
      </c>
      <c r="P19" s="3" t="n">
        <v>1</v>
      </c>
      <c r="Q19" s="3" t="n"/>
      <c r="R19" s="3" t="n">
        <v>16</v>
      </c>
      <c r="S19" s="6">
        <f>IF(OR(C19="",J19="",O19=""),"",C19+J19-O19)</f>
        <v/>
      </c>
      <c r="T19" s="3" t="n">
        <v>11</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DATE(2025,7,14)</f>
        <v/>
      </c>
      <c r="B20" s="6" t="n">
        <v>14</v>
      </c>
      <c r="C20" s="6">
        <f>Q19</f>
        <v/>
      </c>
      <c r="D20" s="3" t="n"/>
      <c r="E20" s="3" t="n"/>
      <c r="F20" s="3" t="n"/>
      <c r="G20" s="3" t="n"/>
      <c r="H20" s="3" t="n"/>
      <c r="I20" s="3" t="n"/>
      <c r="J20" s="6">
        <f>IF(COUNTA(D20:I20)&gt;0,SUM(D20:I20),IF(K20="", "", K20))</f>
        <v/>
      </c>
      <c r="K20" s="3" t="n">
        <v>4</v>
      </c>
      <c r="L20" s="3" t="n"/>
      <c r="M20" s="4" t="n"/>
      <c r="N20" s="3" t="n"/>
      <c r="O20" s="6">
        <f>IF(COUNTA(L20:N20)&gt;0,SUM(L20:N20),IF(P20="", "", P20))</f>
        <v/>
      </c>
      <c r="P20" s="3" t="n">
        <v>3</v>
      </c>
      <c r="Q20" s="3" t="n"/>
      <c r="R20" s="3" t="n">
        <v>16</v>
      </c>
      <c r="S20" s="6">
        <f>IF(OR(C20="",J20="",O20=""),"",C20+J20-O20)</f>
        <v/>
      </c>
      <c r="T20" s="3" t="n">
        <v>21</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DATE(2025,7,15)</f>
        <v/>
      </c>
      <c r="B21" s="6" t="n">
        <v>15</v>
      </c>
      <c r="C21" s="6">
        <f>Q20</f>
        <v/>
      </c>
      <c r="D21" s="3" t="n"/>
      <c r="E21" s="3" t="n"/>
      <c r="F21" s="3" t="n"/>
      <c r="G21" s="3" t="n"/>
      <c r="H21" s="3" t="n"/>
      <c r="I21" s="3" t="n"/>
      <c r="J21" s="6">
        <f>IF(COUNTA(D21:I21)&gt;0,SUM(D21:I21),IF(K21="", "", K21))</f>
        <v/>
      </c>
      <c r="K21" s="3" t="n">
        <v>1</v>
      </c>
      <c r="L21" s="3" t="n"/>
      <c r="M21" s="4" t="n"/>
      <c r="N21" s="3" t="n"/>
      <c r="O21" s="6">
        <f>IF(COUNTA(L21:N21)&gt;0,SUM(L21:N21),IF(P21="", "", P21))</f>
        <v/>
      </c>
      <c r="P21" s="3" t="n">
        <v>2</v>
      </c>
      <c r="Q21" s="3" t="n"/>
      <c r="R21" s="3" t="n">
        <v>16</v>
      </c>
      <c r="S21" s="6">
        <f>IF(OR(C21="",J21="",O21=""),"",C21+J21-O21)</f>
        <v/>
      </c>
      <c r="T21" s="3" t="n">
        <v>15</v>
      </c>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DATE(2025,7,16)</f>
        <v/>
      </c>
      <c r="B22" s="6" t="n">
        <v>16</v>
      </c>
      <c r="C22" s="6">
        <f>Q21</f>
        <v/>
      </c>
      <c r="D22" s="3" t="n"/>
      <c r="E22" s="3" t="n"/>
      <c r="F22" s="3" t="n"/>
      <c r="G22" s="3" t="n"/>
      <c r="H22" s="3" t="n"/>
      <c r="I22" s="3" t="n"/>
      <c r="J22" s="6">
        <f>IF(COUNTA(D22:I22)&gt;0,SUM(D22:I22),IF(K22="", "", K22))</f>
        <v/>
      </c>
      <c r="K22" s="3" t="n">
        <v>1</v>
      </c>
      <c r="L22" s="3" t="n"/>
      <c r="M22" s="4" t="n"/>
      <c r="N22" s="3" t="n"/>
      <c r="O22" s="6">
        <f>IF(COUNTA(L22:N22)&gt;0,SUM(L22:N22),IF(P22="", "", P22))</f>
        <v/>
      </c>
      <c r="P22" s="3" t="n"/>
      <c r="Q22" s="3" t="n"/>
      <c r="R22" s="3" t="n">
        <v>16</v>
      </c>
      <c r="S22" s="6">
        <f>IF(OR(C22="",J22="",O22=""),"",C22+J22-O22)</f>
        <v/>
      </c>
      <c r="T22" s="3" t="n">
        <v>0</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DATE(2025,7,17)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v>16</v>
      </c>
      <c r="S23" s="6">
        <f>IF(OR(C23="",J23="",O23=""),"",C23+J23-O23)</f>
        <v/>
      </c>
      <c r="T23" s="3" t="n">
        <v>0</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DATE(2025,7,18)</f>
        <v/>
      </c>
      <c r="B24" s="6" t="n">
        <v>18</v>
      </c>
      <c r="C24" s="6">
        <f>Q23</f>
        <v/>
      </c>
      <c r="D24" s="3" t="n"/>
      <c r="E24" s="3" t="n"/>
      <c r="F24" s="3" t="n"/>
      <c r="G24" s="3" t="n"/>
      <c r="H24" s="3" t="n"/>
      <c r="I24" s="3" t="n"/>
      <c r="J24" s="6">
        <f>IF(COUNTA(D24:I24)&gt;0,SUM(D24:I24),IF(K24="", "", K24))</f>
        <v/>
      </c>
      <c r="K24" s="3" t="n">
        <v>3</v>
      </c>
      <c r="L24" s="3" t="n"/>
      <c r="M24" s="4" t="n"/>
      <c r="N24" s="3" t="n"/>
      <c r="O24" s="6">
        <f>IF(COUNTA(L24:N24)&gt;0,SUM(L24:N24),IF(P24="", "", P24))</f>
        <v/>
      </c>
      <c r="P24" s="3" t="n">
        <v>1</v>
      </c>
      <c r="Q24" s="3" t="n"/>
      <c r="R24" s="3" t="n">
        <v>16</v>
      </c>
      <c r="S24" s="6">
        <f>IF(OR(C24="",J24="",O24=""),"",C24+J24-O24)</f>
        <v/>
      </c>
      <c r="T24" s="3" t="n">
        <v>10</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DATE(2025,7,19)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v>4</v>
      </c>
      <c r="Q25" s="3" t="n"/>
      <c r="R25" s="3" t="n">
        <v>16</v>
      </c>
      <c r="S25" s="6">
        <f>IF(OR(C25="",J25="",O25=""),"",C25+J25-O25)</f>
        <v/>
      </c>
      <c r="T25" s="3" t="n">
        <v>44</v>
      </c>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DATE(2025,7,20)</f>
        <v/>
      </c>
      <c r="B26" s="6" t="n">
        <v>20</v>
      </c>
      <c r="C26" s="6">
        <f>Q25</f>
        <v/>
      </c>
      <c r="D26" s="3" t="n"/>
      <c r="E26" s="3" t="n"/>
      <c r="F26" s="3" t="n"/>
      <c r="G26" s="3" t="n"/>
      <c r="H26" s="3" t="n"/>
      <c r="I26" s="3" t="n"/>
      <c r="J26" s="6">
        <f>IF(COUNTA(D26:I26)&gt;0,SUM(D26:I26),IF(K26="", "", K26))</f>
        <v/>
      </c>
      <c r="K26" s="3" t="n">
        <v>1</v>
      </c>
      <c r="L26" s="3" t="n"/>
      <c r="M26" s="4" t="n"/>
      <c r="N26" s="3" t="n"/>
      <c r="O26" s="6">
        <f>IF(COUNTA(L26:N26)&gt;0,SUM(L26:N26),IF(P26="", "", P26))</f>
        <v/>
      </c>
      <c r="P26" s="3" t="n">
        <v>1</v>
      </c>
      <c r="Q26" s="3" t="n"/>
      <c r="R26" s="3" t="n">
        <v>16</v>
      </c>
      <c r="S26" s="6">
        <f>IF(OR(C26="",J26="",O26=""),"",C26+J26-O26)</f>
        <v/>
      </c>
      <c r="T26" s="3" t="n">
        <v>12</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DATE(2025,7,21)</f>
        <v/>
      </c>
      <c r="B27" s="6" t="n">
        <v>21</v>
      </c>
      <c r="C27" s="6">
        <f>Q26</f>
        <v/>
      </c>
      <c r="D27" s="3" t="n"/>
      <c r="E27" s="3" t="n"/>
      <c r="F27" s="3" t="n"/>
      <c r="G27" s="3" t="n"/>
      <c r="H27" s="3" t="n"/>
      <c r="I27" s="3" t="n"/>
      <c r="J27" s="6">
        <f>IF(COUNTA(D27:I27)&gt;0,SUM(D27:I27),IF(K27="", "", K27))</f>
        <v/>
      </c>
      <c r="K27" s="3" t="n">
        <v>5</v>
      </c>
      <c r="L27" s="3" t="n"/>
      <c r="M27" s="4" t="n"/>
      <c r="N27" s="3" t="n"/>
      <c r="O27" s="6">
        <f>IF(COUNTA(L27:N27)&gt;0,SUM(L27:N27),IF(P27="", "", P27))</f>
        <v/>
      </c>
      <c r="P27" s="3" t="n">
        <v>3</v>
      </c>
      <c r="Q27" s="3" t="n"/>
      <c r="R27" s="3" t="n">
        <v>16</v>
      </c>
      <c r="S27" s="6">
        <f>IF(OR(C27="",J27="",O27=""),"",C27+J27-O27)</f>
        <v/>
      </c>
      <c r="T27" s="3" t="n">
        <v>32</v>
      </c>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DATE(2025,7,22)</f>
        <v/>
      </c>
      <c r="B28" s="6" t="n">
        <v>22</v>
      </c>
      <c r="C28" s="6">
        <f>Q27</f>
        <v/>
      </c>
      <c r="D28" s="3" t="n"/>
      <c r="E28" s="3" t="n"/>
      <c r="F28" s="3" t="n"/>
      <c r="G28" s="3" t="n"/>
      <c r="H28" s="3" t="n"/>
      <c r="I28" s="3" t="n"/>
      <c r="J28" s="6">
        <f>IF(COUNTA(D28:I28)&gt;0,SUM(D28:I28),IF(K28="", "", K28))</f>
        <v/>
      </c>
      <c r="K28" s="3" t="n">
        <v>1</v>
      </c>
      <c r="L28" s="3" t="n"/>
      <c r="M28" s="4" t="n"/>
      <c r="N28" s="3" t="n"/>
      <c r="O28" s="6">
        <f>IF(COUNTA(L28:N28)&gt;0,SUM(L28:N28),IF(P28="", "", P28))</f>
        <v/>
      </c>
      <c r="P28" s="3" t="n">
        <v>2</v>
      </c>
      <c r="Q28" s="3" t="n"/>
      <c r="R28" s="3" t="n">
        <v>16</v>
      </c>
      <c r="S28" s="6">
        <f>IF(OR(C28="",J28="",O28=""),"",C28+J28-O28)</f>
        <v/>
      </c>
      <c r="T28" s="3" t="n">
        <v>16</v>
      </c>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DATE(2025,7,23)</f>
        <v/>
      </c>
      <c r="B29" s="6" t="n">
        <v>23</v>
      </c>
      <c r="C29" s="6">
        <f>Q28</f>
        <v/>
      </c>
      <c r="D29" s="3" t="n"/>
      <c r="E29" s="3" t="n"/>
      <c r="F29" s="3" t="n"/>
      <c r="G29" s="3" t="n"/>
      <c r="H29" s="3" t="n"/>
      <c r="I29" s="3" t="n"/>
      <c r="J29" s="6">
        <f>IF(COUNTA(D29:I29)&gt;0,SUM(D29:I29),IF(K29="", "", K29))</f>
        <v/>
      </c>
      <c r="K29" s="3" t="n">
        <v>2</v>
      </c>
      <c r="L29" s="3" t="n"/>
      <c r="M29" s="4" t="n"/>
      <c r="N29" s="3" t="n"/>
      <c r="O29" s="6">
        <f>IF(COUNTA(L29:N29)&gt;0,SUM(L29:N29),IF(P29="", "", P29))</f>
        <v/>
      </c>
      <c r="P29" s="3" t="n">
        <v>2</v>
      </c>
      <c r="Q29" s="3" t="n"/>
      <c r="R29" s="3" t="n">
        <v>16</v>
      </c>
      <c r="S29" s="6">
        <f>IF(OR(C29="",J29="",O29=""),"",C29+J29-O29)</f>
        <v/>
      </c>
      <c r="T29" s="3" t="n">
        <v>15</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DATE(2025,7,24)</f>
        <v/>
      </c>
      <c r="B30" s="6" t="n">
        <v>24</v>
      </c>
      <c r="C30" s="6">
        <f>Q29</f>
        <v/>
      </c>
      <c r="D30" s="3" t="n"/>
      <c r="E30" s="3" t="n"/>
      <c r="F30" s="3" t="n"/>
      <c r="G30" s="3" t="n"/>
      <c r="H30" s="3" t="n"/>
      <c r="I30" s="3" t="n"/>
      <c r="J30" s="6">
        <f>IF(COUNTA(D30:I30)&gt;0,SUM(D30:I30),IF(K30="", "", K30))</f>
        <v/>
      </c>
      <c r="K30" s="3" t="n">
        <v>2</v>
      </c>
      <c r="L30" s="3" t="n"/>
      <c r="M30" s="4" t="n"/>
      <c r="N30" s="3" t="n"/>
      <c r="O30" s="6">
        <f>IF(COUNTA(L30:N30)&gt;0,SUM(L30:N30),IF(P30="", "", P30))</f>
        <v/>
      </c>
      <c r="P30" s="3" t="n"/>
      <c r="Q30" s="3" t="n"/>
      <c r="R30" s="3" t="n">
        <v>16</v>
      </c>
      <c r="S30" s="6">
        <f>IF(OR(C30="",J30="",O30=""),"",C30+J30-O30)</f>
        <v/>
      </c>
      <c r="T30" s="3" t="n">
        <v>0</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DATE(2025,7,25)</f>
        <v/>
      </c>
      <c r="B31" s="6" t="n">
        <v>25</v>
      </c>
      <c r="C31" s="6">
        <f>Q30</f>
        <v/>
      </c>
      <c r="D31" s="3" t="n"/>
      <c r="E31" s="3" t="n"/>
      <c r="F31" s="3" t="n"/>
      <c r="G31" s="3" t="n"/>
      <c r="H31" s="3" t="n"/>
      <c r="I31" s="3" t="n"/>
      <c r="J31" s="6">
        <f>IF(COUNTA(D31:I31)&gt;0,SUM(D31:I31),IF(K31="", "", K31))</f>
        <v/>
      </c>
      <c r="K31" s="3" t="n">
        <v>3</v>
      </c>
      <c r="L31" s="3" t="n"/>
      <c r="M31" s="4" t="n"/>
      <c r="N31" s="3" t="n"/>
      <c r="O31" s="6">
        <f>IF(COUNTA(L31:N31)&gt;0,SUM(L31:N31),IF(P31="", "", P31))</f>
        <v/>
      </c>
      <c r="P31" s="3" t="n">
        <v>3</v>
      </c>
      <c r="Q31" s="3" t="n"/>
      <c r="R31" s="3" t="n">
        <v>16</v>
      </c>
      <c r="S31" s="6">
        <f>IF(OR(C31="",J31="",O31=""),"",C31+J31-O31)</f>
        <v/>
      </c>
      <c r="T31" s="3" t="n">
        <v>24</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DATE(2025,7,26)</f>
        <v/>
      </c>
      <c r="B32" s="6" t="n">
        <v>26</v>
      </c>
      <c r="C32" s="6">
        <f>Q31</f>
        <v/>
      </c>
      <c r="D32" s="3" t="n"/>
      <c r="E32" s="3" t="n"/>
      <c r="F32" s="3" t="n"/>
      <c r="G32" s="3" t="n"/>
      <c r="H32" s="3" t="n"/>
      <c r="I32" s="3" t="n"/>
      <c r="J32" s="6">
        <f>IF(COUNTA(D32:I32)&gt;0,SUM(D32:I32),IF(K32="", "", K32))</f>
        <v/>
      </c>
      <c r="K32" s="3" t="n">
        <v>1</v>
      </c>
      <c r="L32" s="3" t="n"/>
      <c r="M32" s="4" t="n"/>
      <c r="N32" s="3" t="n"/>
      <c r="O32" s="6">
        <f>IF(COUNTA(L32:N32)&gt;0,SUM(L32:N32),IF(P32="", "", P32))</f>
        <v/>
      </c>
      <c r="P32" s="3" t="n"/>
      <c r="Q32" s="3" t="n"/>
      <c r="R32" s="3" t="n">
        <v>16</v>
      </c>
      <c r="S32" s="6">
        <f>IF(OR(C32="",J32="",O32=""),"",C32+J32-O32)</f>
        <v/>
      </c>
      <c r="T32" s="3" t="n">
        <v>0</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DATE(2025,7,27)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v>1</v>
      </c>
      <c r="Q33" s="3" t="n"/>
      <c r="R33" s="3" t="n">
        <v>16</v>
      </c>
      <c r="S33" s="6">
        <f>IF(OR(C33="",J33="",O33=""),"",C33+J33-O33)</f>
        <v/>
      </c>
      <c r="T33" s="3" t="n">
        <v>1</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DATE(2025,7,28)</f>
        <v/>
      </c>
      <c r="B34" s="6" t="n">
        <v>28</v>
      </c>
      <c r="C34" s="6">
        <f>Q33</f>
        <v/>
      </c>
      <c r="D34" s="3" t="n"/>
      <c r="E34" s="3" t="n"/>
      <c r="F34" s="3" t="n"/>
      <c r="G34" s="3" t="n"/>
      <c r="H34" s="3" t="n"/>
      <c r="I34" s="3" t="n"/>
      <c r="J34" s="6">
        <f>IF(COUNTA(D34:I34)&gt;0,SUM(D34:I34),IF(K34="", "", K34))</f>
        <v/>
      </c>
      <c r="K34" s="3" t="n">
        <v>2</v>
      </c>
      <c r="L34" s="3" t="n"/>
      <c r="M34" s="4" t="n"/>
      <c r="N34" s="3" t="n"/>
      <c r="O34" s="6">
        <f>IF(COUNTA(L34:N34)&gt;0,SUM(L34:N34),IF(P34="", "", P34))</f>
        <v/>
      </c>
      <c r="P34" s="3" t="n">
        <v>2</v>
      </c>
      <c r="Q34" s="3" t="n"/>
      <c r="R34" s="3" t="n">
        <v>16</v>
      </c>
      <c r="S34" s="6">
        <f>IF(OR(C34="",J34="",O34=""),"",C34+J34-O34)</f>
        <v/>
      </c>
      <c r="T34" s="3" t="n">
        <v>14</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DATE(2025,7,29)</f>
        <v/>
      </c>
      <c r="B35" s="6" t="n">
        <v>29</v>
      </c>
      <c r="C35" s="6">
        <f>Q34</f>
        <v/>
      </c>
      <c r="D35" s="3" t="n"/>
      <c r="E35" s="3" t="n"/>
      <c r="F35" s="3" t="n"/>
      <c r="G35" s="3" t="n"/>
      <c r="H35" s="3" t="n"/>
      <c r="I35" s="3" t="n"/>
      <c r="J35" s="6">
        <f>IF(COUNTA(D35:I35)&gt;0,SUM(D35:I35),IF(K35="", "", K35))</f>
        <v/>
      </c>
      <c r="K35" s="3" t="n">
        <v>1</v>
      </c>
      <c r="L35" s="3" t="n"/>
      <c r="M35" s="4" t="n"/>
      <c r="N35" s="3" t="n"/>
      <c r="O35" s="6">
        <f>IF(COUNTA(L35:N35)&gt;0,SUM(L35:N35),IF(P35="", "", P35))</f>
        <v/>
      </c>
      <c r="P35" s="3" t="n">
        <v>4</v>
      </c>
      <c r="Q35" s="3" t="n"/>
      <c r="R35" s="3" t="n">
        <v>16</v>
      </c>
      <c r="S35" s="6">
        <f>IF(OR(C35="",J35="",O35=""),"",C35+J35-O35)</f>
        <v/>
      </c>
      <c r="T35" s="3" t="n">
        <v>44</v>
      </c>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DATE(2025,7,30)</f>
        <v/>
      </c>
      <c r="B36" s="6" t="n">
        <v>30</v>
      </c>
      <c r="C36" s="6">
        <f>Q35</f>
        <v/>
      </c>
      <c r="D36" s="3" t="n"/>
      <c r="E36" s="3" t="n"/>
      <c r="F36" s="3" t="n"/>
      <c r="G36" s="3" t="n"/>
      <c r="H36" s="3" t="n"/>
      <c r="I36" s="3" t="n"/>
      <c r="J36" s="6">
        <f>IF(COUNTA(D36:I36)&gt;0,SUM(D36:I36),IF(K36="", "", K36))</f>
        <v/>
      </c>
      <c r="K36" s="3" t="n">
        <v>2</v>
      </c>
      <c r="L36" s="3" t="n"/>
      <c r="M36" s="4" t="n"/>
      <c r="N36" s="3" t="n"/>
      <c r="O36" s="6">
        <f>IF(COUNTA(L36:N36)&gt;0,SUM(L36:N36),IF(P36="", "", P36))</f>
        <v/>
      </c>
      <c r="P36" s="3" t="n">
        <v>1</v>
      </c>
      <c r="Q36" s="3" t="n"/>
      <c r="R36" s="3" t="n">
        <v>16</v>
      </c>
      <c r="S36" s="6">
        <f>IF(OR(C36="",J36="",O36=""),"",C36+J36-O36)</f>
        <v/>
      </c>
      <c r="T36" s="3" t="n">
        <v>9</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DATE(2025,7,31)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v>2</v>
      </c>
      <c r="Q37" s="3" t="n"/>
      <c r="R37" s="3" t="n">
        <v>16</v>
      </c>
      <c r="S37" s="6">
        <f>IF(OR(C37="",J37="",O37=""),"",C37+J37-O37)</f>
        <v/>
      </c>
      <c r="T37" s="3" t="n">
        <v>22</v>
      </c>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AGOSTO 2025</t>
        </is>
      </c>
    </row>
    <row r="2">
      <c r="A2" s="2" t="inlineStr">
        <is>
          <t>Servicio</t>
        </is>
      </c>
      <c r="B2" s="6">
        <f>01_PARAMETROS!B3</f>
        <v/>
      </c>
      <c r="C2" s="2" t="inlineStr">
        <is>
          <t>Codigo</t>
        </is>
      </c>
      <c r="D2" s="6">
        <f>01_PARAMETROS!B4</f>
        <v/>
      </c>
      <c r="E2" s="2" t="inlineStr">
        <is>
          <t>Mes</t>
        </is>
      </c>
      <c r="F2" s="3" t="inlineStr">
        <is>
          <t>AGOSTO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DATE(2025,8,1)</f>
        <v/>
      </c>
      <c r="B7" s="6" t="n">
        <v>1</v>
      </c>
      <c r="C7" s="3" t="n">
        <v>17</v>
      </c>
      <c r="D7" s="3" t="n"/>
      <c r="E7" s="3" t="n"/>
      <c r="F7" s="3" t="n"/>
      <c r="G7" s="3" t="n"/>
      <c r="H7" s="3" t="n"/>
      <c r="I7" s="3" t="n"/>
      <c r="J7" s="6">
        <f>IF(COUNTA(D7:I7)&gt;0,SUM(D7:I7),IF(K7="", "", K7))</f>
        <v/>
      </c>
      <c r="K7" s="3" t="n">
        <v>4</v>
      </c>
      <c r="L7" s="3" t="n"/>
      <c r="M7" s="4" t="n"/>
      <c r="N7" s="3" t="n"/>
      <c r="O7" s="6">
        <f>IF(COUNTA(L7:N7)&gt;0,SUM(L7:N7),IF(P7="", "", P7))</f>
        <v/>
      </c>
      <c r="P7" s="3" t="n">
        <v>4</v>
      </c>
      <c r="Q7" s="3" t="n"/>
      <c r="R7" s="3" t="n">
        <v>16</v>
      </c>
      <c r="S7" s="6">
        <f>IF(OR(C7="",J7="",O7=""),"",C7+J7-O7)</f>
        <v/>
      </c>
      <c r="T7" s="3" t="n">
        <v>34</v>
      </c>
      <c r="U7" s="3" t="n"/>
      <c r="V7" s="3" t="n"/>
      <c r="W7" s="6">
        <f>IF(Z7=1,"FALTAN DATOS",IF(S7&lt;0,"OCUPACION NEGATIVA",IF(X7=1,"SOBREOCUPACION",IF(Y7&lt;&gt;0,"BALANCE RARO","OK"))))</f>
        <v/>
      </c>
      <c r="X7" s="6">
        <f>IF(AND(R7&lt;&gt;"",S7&gt;R7),1,0)</f>
        <v/>
      </c>
      <c r="Y7" s="6">
        <f>IF(OR(C7="",J7="",O7="",S7=""),"",C7+J7-O7-S7)</f>
        <v/>
      </c>
      <c r="Z7" s="6">
        <f>IF(OR(R7="",A7="",B7="",C7="",J7="",O7=""),1,0)</f>
        <v/>
      </c>
    </row>
    <row r="8">
      <c r="A8" s="6">
        <f>DATE(2025,8,2)</f>
        <v/>
      </c>
      <c r="B8" s="6" t="n">
        <v>2</v>
      </c>
      <c r="C8" s="6">
        <f>Q7</f>
        <v/>
      </c>
      <c r="D8" s="3" t="n"/>
      <c r="E8" s="3" t="n"/>
      <c r="F8" s="3" t="n"/>
      <c r="G8" s="3" t="n"/>
      <c r="H8" s="3" t="n"/>
      <c r="I8" s="3" t="n"/>
      <c r="J8" s="6">
        <f>IF(COUNTA(D8:I8)&gt;0,SUM(D8:I8),IF(K8="", "", K8))</f>
        <v/>
      </c>
      <c r="K8" s="3" t="n">
        <v>1</v>
      </c>
      <c r="L8" s="3" t="n"/>
      <c r="M8" s="4" t="n"/>
      <c r="N8" s="3" t="n"/>
      <c r="O8" s="6">
        <f>IF(COUNTA(L8:N8)&gt;0,SUM(L8:N8),IF(P8="", "", P8))</f>
        <v/>
      </c>
      <c r="P8" s="3" t="n"/>
      <c r="Q8" s="3" t="n"/>
      <c r="R8" s="3" t="n">
        <v>16</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DATE(2025,8,3)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v>16</v>
      </c>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DATE(2025,8,4)</f>
        <v/>
      </c>
      <c r="B10" s="6" t="n">
        <v>4</v>
      </c>
      <c r="C10" s="6">
        <f>Q9</f>
        <v/>
      </c>
      <c r="D10" s="3" t="n"/>
      <c r="E10" s="3" t="n"/>
      <c r="F10" s="3" t="n"/>
      <c r="G10" s="3" t="n"/>
      <c r="H10" s="3" t="n"/>
      <c r="I10" s="3" t="n"/>
      <c r="J10" s="6">
        <f>IF(COUNTA(D10:I10)&gt;0,SUM(D10:I10),IF(K10="", "", K10))</f>
        <v/>
      </c>
      <c r="K10" s="3" t="n">
        <v>1</v>
      </c>
      <c r="L10" s="3" t="n"/>
      <c r="M10" s="4" t="n"/>
      <c r="N10" s="3" t="n"/>
      <c r="O10" s="6">
        <f>IF(COUNTA(L10:N10)&gt;0,SUM(L10:N10),IF(P10="", "", P10))</f>
        <v/>
      </c>
      <c r="P10" s="3" t="n">
        <v>4</v>
      </c>
      <c r="Q10" s="3" t="n"/>
      <c r="R10" s="3" t="n">
        <v>16</v>
      </c>
      <c r="S10" s="6">
        <f>IF(OR(C10="",J10="",O10=""),"",C10+J10-O10)</f>
        <v/>
      </c>
      <c r="T10" s="3" t="n">
        <v>22</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DATE(2025,8,5)</f>
        <v/>
      </c>
      <c r="B11" s="6" t="n">
        <v>5</v>
      </c>
      <c r="C11" s="6">
        <f>Q10</f>
        <v/>
      </c>
      <c r="D11" s="3" t="n"/>
      <c r="E11" s="3" t="n"/>
      <c r="F11" s="3" t="n"/>
      <c r="G11" s="3" t="n"/>
      <c r="H11" s="3" t="n"/>
      <c r="I11" s="3" t="n"/>
      <c r="J11" s="6">
        <f>IF(COUNTA(D11:I11)&gt;0,SUM(D11:I11),IF(K11="", "", K11))</f>
        <v/>
      </c>
      <c r="K11" s="3" t="n">
        <v>2</v>
      </c>
      <c r="L11" s="3" t="n"/>
      <c r="M11" s="4" t="n"/>
      <c r="N11" s="3" t="n"/>
      <c r="O11" s="6">
        <f>IF(COUNTA(L11:N11)&gt;0,SUM(L11:N11),IF(P11="", "", P11))</f>
        <v/>
      </c>
      <c r="P11" s="3" t="n">
        <v>4</v>
      </c>
      <c r="Q11" s="3" t="n"/>
      <c r="R11" s="3" t="n">
        <v>16</v>
      </c>
      <c r="S11" s="6">
        <f>IF(OR(C11="",J11="",O11=""),"",C11+J11-O11)</f>
        <v/>
      </c>
      <c r="T11" s="3" t="n">
        <v>32</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DATE(2025,8,6)</f>
        <v/>
      </c>
      <c r="B12" s="6" t="n">
        <v>6</v>
      </c>
      <c r="C12" s="6">
        <f>Q11</f>
        <v/>
      </c>
      <c r="D12" s="3" t="n"/>
      <c r="E12" s="3" t="n"/>
      <c r="F12" s="3" t="n"/>
      <c r="G12" s="3" t="n"/>
      <c r="H12" s="3" t="n"/>
      <c r="I12" s="3" t="n"/>
      <c r="J12" s="6">
        <f>IF(COUNTA(D12:I12)&gt;0,SUM(D12:I12),IF(K12="", "", K12))</f>
        <v/>
      </c>
      <c r="K12" s="3" t="n">
        <v>3</v>
      </c>
      <c r="L12" s="3" t="n"/>
      <c r="M12" s="4" t="n"/>
      <c r="N12" s="3" t="n"/>
      <c r="O12" s="6">
        <f>IF(COUNTA(L12:N12)&gt;0,SUM(L12:N12),IF(P12="", "", P12))</f>
        <v/>
      </c>
      <c r="P12" s="3" t="n"/>
      <c r="Q12" s="3" t="n"/>
      <c r="R12" s="3" t="n">
        <v>16</v>
      </c>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DATE(2025,8,7)</f>
        <v/>
      </c>
      <c r="B13" s="6" t="n">
        <v>7</v>
      </c>
      <c r="C13" s="6">
        <f>Q12</f>
        <v/>
      </c>
      <c r="D13" s="3" t="n"/>
      <c r="E13" s="3" t="n"/>
      <c r="F13" s="3" t="n"/>
      <c r="G13" s="3" t="n"/>
      <c r="H13" s="3" t="n"/>
      <c r="I13" s="3" t="n"/>
      <c r="J13" s="6">
        <f>IF(COUNTA(D13:I13)&gt;0,SUM(D13:I13),IF(K13="", "", K13))</f>
        <v/>
      </c>
      <c r="K13" s="3" t="n">
        <v>1</v>
      </c>
      <c r="L13" s="3" t="n"/>
      <c r="M13" s="4" t="n"/>
      <c r="N13" s="3" t="n"/>
      <c r="O13" s="6">
        <f>IF(COUNTA(L13:N13)&gt;0,SUM(L13:N13),IF(P13="", "", P13))</f>
        <v/>
      </c>
      <c r="P13" s="3" t="n">
        <v>1</v>
      </c>
      <c r="Q13" s="3" t="n"/>
      <c r="R13" s="3" t="n">
        <v>16</v>
      </c>
      <c r="S13" s="6">
        <f>IF(OR(C13="",J13="",O13=""),"",C13+J13-O13)</f>
        <v/>
      </c>
      <c r="T13" s="3" t="n">
        <v>7</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DATE(2025,8,8)</f>
        <v/>
      </c>
      <c r="B14" s="6" t="n">
        <v>8</v>
      </c>
      <c r="C14" s="6">
        <f>Q13</f>
        <v/>
      </c>
      <c r="D14" s="3" t="n"/>
      <c r="E14" s="3" t="n"/>
      <c r="F14" s="3" t="n"/>
      <c r="G14" s="3" t="n"/>
      <c r="H14" s="3" t="n"/>
      <c r="I14" s="3" t="n"/>
      <c r="J14" s="6">
        <f>IF(COUNTA(D14:I14)&gt;0,SUM(D14:I14),IF(K14="", "", K14))</f>
        <v/>
      </c>
      <c r="K14" s="3" t="n">
        <v>1</v>
      </c>
      <c r="L14" s="3" t="n"/>
      <c r="M14" s="4" t="n"/>
      <c r="N14" s="3" t="n"/>
      <c r="O14" s="6">
        <f>IF(COUNTA(L14:N14)&gt;0,SUM(L14:N14),IF(P14="", "", P14))</f>
        <v/>
      </c>
      <c r="P14" s="3" t="n">
        <v>4</v>
      </c>
      <c r="Q14" s="3" t="n"/>
      <c r="R14" s="3" t="n">
        <v>16</v>
      </c>
      <c r="S14" s="6">
        <f>IF(OR(C14="",J14="",O14=""),"",C14+J14-O14)</f>
        <v/>
      </c>
      <c r="T14" s="3" t="n">
        <v>40</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DATE(2025,8,9)</f>
        <v/>
      </c>
      <c r="B15" s="6" t="n">
        <v>9</v>
      </c>
      <c r="C15" s="6">
        <f>Q14</f>
        <v/>
      </c>
      <c r="D15" s="3" t="n"/>
      <c r="E15" s="3" t="n"/>
      <c r="F15" s="3" t="n"/>
      <c r="G15" s="3" t="n"/>
      <c r="H15" s="3" t="n"/>
      <c r="I15" s="3" t="n"/>
      <c r="J15" s="6">
        <f>IF(COUNTA(D15:I15)&gt;0,SUM(D15:I15),IF(K15="", "", K15))</f>
        <v/>
      </c>
      <c r="K15" s="3" t="n">
        <v>2</v>
      </c>
      <c r="L15" s="3" t="n"/>
      <c r="M15" s="4" t="n"/>
      <c r="N15" s="3" t="n"/>
      <c r="O15" s="6">
        <f>IF(COUNTA(L15:N15)&gt;0,SUM(L15:N15),IF(P15="", "", P15))</f>
        <v/>
      </c>
      <c r="P15" s="3" t="n"/>
      <c r="Q15" s="3" t="n"/>
      <c r="R15" s="3" t="n">
        <v>16</v>
      </c>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DATE(2025,8,10)</f>
        <v/>
      </c>
      <c r="B16" s="6" t="n">
        <v>10</v>
      </c>
      <c r="C16" s="6">
        <f>Q15</f>
        <v/>
      </c>
      <c r="D16" s="3" t="n"/>
      <c r="E16" s="3" t="n"/>
      <c r="F16" s="3" t="n"/>
      <c r="G16" s="3" t="n"/>
      <c r="H16" s="3" t="n"/>
      <c r="I16" s="3" t="n"/>
      <c r="J16" s="6">
        <f>IF(COUNTA(D16:I16)&gt;0,SUM(D16:I16),IF(K16="", "", K16))</f>
        <v/>
      </c>
      <c r="K16" s="3" t="n">
        <v>1</v>
      </c>
      <c r="L16" s="3" t="n"/>
      <c r="M16" s="4" t="n"/>
      <c r="N16" s="3" t="n"/>
      <c r="O16" s="6">
        <f>IF(COUNTA(L16:N16)&gt;0,SUM(L16:N16),IF(P16="", "", P16))</f>
        <v/>
      </c>
      <c r="P16" s="3" t="n"/>
      <c r="Q16" s="3" t="n"/>
      <c r="R16" s="3" t="n">
        <v>16</v>
      </c>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DATE(2025,8,11)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v>3</v>
      </c>
      <c r="Q17" s="3" t="n"/>
      <c r="R17" s="3" t="n">
        <v>16</v>
      </c>
      <c r="S17" s="6">
        <f>IF(OR(C17="",J17="",O17=""),"",C17+J17-O17)</f>
        <v/>
      </c>
      <c r="T17" s="3" t="n">
        <v>14</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DATE(2025,8,12)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v>2</v>
      </c>
      <c r="Q18" s="3" t="n"/>
      <c r="R18" s="3" t="n">
        <v>16</v>
      </c>
      <c r="S18" s="6">
        <f>IF(OR(C18="",J18="",O18=""),"",C18+J18-O18)</f>
        <v/>
      </c>
      <c r="T18" s="3" t="n">
        <v>14</v>
      </c>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DATE(2025,8,13)</f>
        <v/>
      </c>
      <c r="B19" s="6" t="n">
        <v>13</v>
      </c>
      <c r="C19" s="6">
        <f>Q18</f>
        <v/>
      </c>
      <c r="D19" s="3" t="n"/>
      <c r="E19" s="3" t="n"/>
      <c r="F19" s="3" t="n"/>
      <c r="G19" s="3" t="n"/>
      <c r="H19" s="3" t="n"/>
      <c r="I19" s="3" t="n"/>
      <c r="J19" s="6">
        <f>IF(COUNTA(D19:I19)&gt;0,SUM(D19:I19),IF(K19="", "", K19))</f>
        <v/>
      </c>
      <c r="K19" s="3" t="n">
        <v>1</v>
      </c>
      <c r="L19" s="3" t="n"/>
      <c r="M19" s="4" t="n"/>
      <c r="N19" s="3" t="n"/>
      <c r="O19" s="6">
        <f>IF(COUNTA(L19:N19)&gt;0,SUM(L19:N19),IF(P19="", "", P19))</f>
        <v/>
      </c>
      <c r="P19" s="3" t="n">
        <v>1</v>
      </c>
      <c r="Q19" s="3" t="n"/>
      <c r="R19" s="3" t="n">
        <v>16</v>
      </c>
      <c r="S19" s="6">
        <f>IF(OR(C19="",J19="",O19=""),"",C19+J19-O19)</f>
        <v/>
      </c>
      <c r="T19" s="3" t="n">
        <v>9</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DATE(2025,8,14)</f>
        <v/>
      </c>
      <c r="B20" s="6" t="n">
        <v>14</v>
      </c>
      <c r="C20" s="6">
        <f>Q19</f>
        <v/>
      </c>
      <c r="D20" s="3" t="n"/>
      <c r="E20" s="3" t="n"/>
      <c r="F20" s="3" t="n"/>
      <c r="G20" s="3" t="n"/>
      <c r="H20" s="3" t="n"/>
      <c r="I20" s="3" t="n"/>
      <c r="J20" s="6">
        <f>IF(COUNTA(D20:I20)&gt;0,SUM(D20:I20),IF(K20="", "", K20))</f>
        <v/>
      </c>
      <c r="K20" s="3" t="n">
        <v>2</v>
      </c>
      <c r="L20" s="3" t="n"/>
      <c r="M20" s="4" t="n"/>
      <c r="N20" s="3" t="n"/>
      <c r="O20" s="6">
        <f>IF(COUNTA(L20:N20)&gt;0,SUM(L20:N20),IF(P20="", "", P20))</f>
        <v/>
      </c>
      <c r="P20" s="3" t="n">
        <v>2</v>
      </c>
      <c r="Q20" s="3" t="n"/>
      <c r="R20" s="3" t="n">
        <v>16</v>
      </c>
      <c r="S20" s="6">
        <f>IF(OR(C20="",J20="",O20=""),"",C20+J20-O20)</f>
        <v/>
      </c>
      <c r="T20" s="3" t="n">
        <v>19</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DATE(2025,8,15)</f>
        <v/>
      </c>
      <c r="B21" s="6" t="n">
        <v>15</v>
      </c>
      <c r="C21" s="6">
        <f>Q20</f>
        <v/>
      </c>
      <c r="D21" s="3" t="n"/>
      <c r="E21" s="3" t="n"/>
      <c r="F21" s="3" t="n"/>
      <c r="G21" s="3" t="n"/>
      <c r="H21" s="3" t="n"/>
      <c r="I21" s="3" t="n"/>
      <c r="J21" s="6">
        <f>IF(COUNTA(D21:I21)&gt;0,SUM(D21:I21),IF(K21="", "", K21))</f>
        <v/>
      </c>
      <c r="K21" s="3" t="n">
        <v>1</v>
      </c>
      <c r="L21" s="3" t="n"/>
      <c r="M21" s="4" t="n"/>
      <c r="N21" s="3" t="n"/>
      <c r="O21" s="6">
        <f>IF(COUNTA(L21:N21)&gt;0,SUM(L21:N21),IF(P21="", "", P21))</f>
        <v/>
      </c>
      <c r="P21" s="3" t="n">
        <v>2</v>
      </c>
      <c r="Q21" s="3" t="n"/>
      <c r="R21" s="3" t="n">
        <v>16</v>
      </c>
      <c r="S21" s="6">
        <f>IF(OR(C21="",J21="",O21=""),"",C21+J21-O21)</f>
        <v/>
      </c>
      <c r="T21" s="3" t="n">
        <v>15</v>
      </c>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DATE(2025,8,16)</f>
        <v/>
      </c>
      <c r="B22" s="6" t="n">
        <v>16</v>
      </c>
      <c r="C22" s="6">
        <f>Q21</f>
        <v/>
      </c>
      <c r="D22" s="3" t="n"/>
      <c r="E22" s="3" t="n"/>
      <c r="F22" s="3" t="n"/>
      <c r="G22" s="3" t="n"/>
      <c r="H22" s="3" t="n"/>
      <c r="I22" s="3" t="n"/>
      <c r="J22" s="6">
        <f>IF(COUNTA(D22:I22)&gt;0,SUM(D22:I22),IF(K22="", "", K22))</f>
        <v/>
      </c>
      <c r="K22" s="3" t="n">
        <v>3</v>
      </c>
      <c r="L22" s="3" t="n"/>
      <c r="M22" s="4" t="n"/>
      <c r="N22" s="3" t="n"/>
      <c r="O22" s="6">
        <f>IF(COUNTA(L22:N22)&gt;0,SUM(L22:N22),IF(P22="", "", P22))</f>
        <v/>
      </c>
      <c r="P22" s="3" t="n">
        <v>1</v>
      </c>
      <c r="Q22" s="3" t="n"/>
      <c r="R22" s="3" t="n">
        <v>16</v>
      </c>
      <c r="S22" s="6">
        <f>IF(OR(C22="",J22="",O22=""),"",C22+J22-O22)</f>
        <v/>
      </c>
      <c r="T22" s="3" t="n">
        <v>6</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DATE(2025,8,17)</f>
        <v/>
      </c>
      <c r="B23" s="6" t="n">
        <v>17</v>
      </c>
      <c r="C23" s="6">
        <f>Q22</f>
        <v/>
      </c>
      <c r="D23" s="3" t="n"/>
      <c r="E23" s="3" t="n"/>
      <c r="F23" s="3" t="n"/>
      <c r="G23" s="3" t="n"/>
      <c r="H23" s="3" t="n"/>
      <c r="I23" s="3" t="n"/>
      <c r="J23" s="6">
        <f>IF(COUNTA(D23:I23)&gt;0,SUM(D23:I23),IF(K23="", "", K23))</f>
        <v/>
      </c>
      <c r="K23" s="3" t="n">
        <v>1</v>
      </c>
      <c r="L23" s="3" t="n"/>
      <c r="M23" s="4" t="n"/>
      <c r="N23" s="3" t="n"/>
      <c r="O23" s="6">
        <f>IF(COUNTA(L23:N23)&gt;0,SUM(L23:N23),IF(P23="", "", P23))</f>
        <v/>
      </c>
      <c r="P23" s="3" t="n"/>
      <c r="Q23" s="3" t="n"/>
      <c r="R23" s="3" t="n">
        <v>16</v>
      </c>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DATE(2025,8,18)</f>
        <v/>
      </c>
      <c r="B24" s="6" t="n">
        <v>18</v>
      </c>
      <c r="C24" s="6">
        <f>Q23</f>
        <v/>
      </c>
      <c r="D24" s="3" t="n"/>
      <c r="E24" s="3" t="n"/>
      <c r="F24" s="3" t="n"/>
      <c r="G24" s="3" t="n"/>
      <c r="H24" s="3" t="n"/>
      <c r="I24" s="3" t="n"/>
      <c r="J24" s="6">
        <f>IF(COUNTA(D24:I24)&gt;0,SUM(D24:I24),IF(K24="", "", K24))</f>
        <v/>
      </c>
      <c r="K24" s="3" t="n">
        <v>2</v>
      </c>
      <c r="L24" s="3" t="n"/>
      <c r="M24" s="4" t="n"/>
      <c r="N24" s="3" t="n"/>
      <c r="O24" s="6">
        <f>IF(COUNTA(L24:N24)&gt;0,SUM(L24:N24),IF(P24="", "", P24))</f>
        <v/>
      </c>
      <c r="P24" s="3" t="n">
        <v>3</v>
      </c>
      <c r="Q24" s="3" t="n"/>
      <c r="R24" s="3" t="n">
        <v>16</v>
      </c>
      <c r="S24" s="6">
        <f>IF(OR(C24="",J24="",O24=""),"",C24+J24-O24)</f>
        <v/>
      </c>
      <c r="T24" s="3" t="n">
        <v>28</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DATE(2025,8,19)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v>2</v>
      </c>
      <c r="Q25" s="3" t="n"/>
      <c r="R25" s="3" t="n">
        <v>16</v>
      </c>
      <c r="S25" s="6">
        <f>IF(OR(C25="",J25="",O25=""),"",C25+J25-O25)</f>
        <v/>
      </c>
      <c r="T25" s="3" t="n">
        <v>27</v>
      </c>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DATE(2025,8,20)</f>
        <v/>
      </c>
      <c r="B26" s="6" t="n">
        <v>20</v>
      </c>
      <c r="C26" s="6">
        <f>Q25</f>
        <v/>
      </c>
      <c r="D26" s="3" t="n"/>
      <c r="E26" s="3" t="n"/>
      <c r="F26" s="3" t="n"/>
      <c r="G26" s="3" t="n"/>
      <c r="H26" s="3" t="n"/>
      <c r="I26" s="3" t="n"/>
      <c r="J26" s="6">
        <f>IF(COUNTA(D26:I26)&gt;0,SUM(D26:I26),IF(K26="", "", K26))</f>
        <v/>
      </c>
      <c r="K26" s="3" t="n">
        <v>5</v>
      </c>
      <c r="L26" s="3" t="n"/>
      <c r="M26" s="4" t="n"/>
      <c r="N26" s="3" t="n"/>
      <c r="O26" s="6">
        <f>IF(COUNTA(L26:N26)&gt;0,SUM(L26:N26),IF(P26="", "", P26))</f>
        <v/>
      </c>
      <c r="P26" s="3" t="n">
        <v>2</v>
      </c>
      <c r="Q26" s="3" t="n"/>
      <c r="R26" s="3" t="n">
        <v>16</v>
      </c>
      <c r="S26" s="6">
        <f>IF(OR(C26="",J26="",O26=""),"",C26+J26-O26)</f>
        <v/>
      </c>
      <c r="T26" s="3" t="n">
        <v>13</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DATE(2025,8,21)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v>16</v>
      </c>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DATE(2025,8,22)</f>
        <v/>
      </c>
      <c r="B28" s="6" t="n">
        <v>22</v>
      </c>
      <c r="C28" s="6">
        <f>Q27</f>
        <v/>
      </c>
      <c r="D28" s="3" t="n"/>
      <c r="E28" s="3" t="n"/>
      <c r="F28" s="3" t="n"/>
      <c r="G28" s="3" t="n"/>
      <c r="H28" s="3" t="n"/>
      <c r="I28" s="3" t="n"/>
      <c r="J28" s="6">
        <f>IF(COUNTA(D28:I28)&gt;0,SUM(D28:I28),IF(K28="", "", K28))</f>
        <v/>
      </c>
      <c r="K28" s="3" t="n">
        <v>4</v>
      </c>
      <c r="L28" s="3" t="n"/>
      <c r="M28" s="4" t="n"/>
      <c r="N28" s="3" t="n"/>
      <c r="O28" s="6">
        <f>IF(COUNTA(L28:N28)&gt;0,SUM(L28:N28),IF(P28="", "", P28))</f>
        <v/>
      </c>
      <c r="P28" s="3" t="n">
        <v>3</v>
      </c>
      <c r="Q28" s="3" t="n"/>
      <c r="R28" s="3" t="n">
        <v>16</v>
      </c>
      <c r="S28" s="6">
        <f>IF(OR(C28="",J28="",O28=""),"",C28+J28-O28)</f>
        <v/>
      </c>
      <c r="T28" s="3" t="n">
        <v>30</v>
      </c>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DATE(2025,8,23)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v>16</v>
      </c>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DATE(2025,8,24)</f>
        <v/>
      </c>
      <c r="B30" s="6" t="n">
        <v>24</v>
      </c>
      <c r="C30" s="6">
        <f>Q29</f>
        <v/>
      </c>
      <c r="D30" s="3" t="n"/>
      <c r="E30" s="3" t="n"/>
      <c r="F30" s="3" t="n"/>
      <c r="G30" s="3" t="n"/>
      <c r="H30" s="3" t="n"/>
      <c r="I30" s="3" t="n"/>
      <c r="J30" s="6">
        <f>IF(COUNTA(D30:I30)&gt;0,SUM(D30:I30),IF(K30="", "", K30))</f>
        <v/>
      </c>
      <c r="K30" s="3" t="n">
        <v>1</v>
      </c>
      <c r="L30" s="3" t="n"/>
      <c r="M30" s="4" t="n"/>
      <c r="N30" s="3" t="n"/>
      <c r="O30" s="6">
        <f>IF(COUNTA(L30:N30)&gt;0,SUM(L30:N30),IF(P30="", "", P30))</f>
        <v/>
      </c>
      <c r="P30" s="3" t="n">
        <v>1</v>
      </c>
      <c r="Q30" s="3" t="n"/>
      <c r="R30" s="3" t="n">
        <v>16</v>
      </c>
      <c r="S30" s="6">
        <f>IF(OR(C30="",J30="",O30=""),"",C30+J30-O30)</f>
        <v/>
      </c>
      <c r="T30" s="3" t="n">
        <v>4</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DATE(2025,8,25)</f>
        <v/>
      </c>
      <c r="B31" s="6" t="n">
        <v>25</v>
      </c>
      <c r="C31" s="6">
        <f>Q30</f>
        <v/>
      </c>
      <c r="D31" s="3" t="n"/>
      <c r="E31" s="3" t="n"/>
      <c r="F31" s="3" t="n"/>
      <c r="G31" s="3" t="n"/>
      <c r="H31" s="3" t="n"/>
      <c r="I31" s="3" t="n"/>
      <c r="J31" s="6">
        <f>IF(COUNTA(D31:I31)&gt;0,SUM(D31:I31),IF(K31="", "", K31))</f>
        <v/>
      </c>
      <c r="K31" s="3" t="n">
        <v>2</v>
      </c>
      <c r="L31" s="3" t="n"/>
      <c r="M31" s="4" t="n"/>
      <c r="N31" s="3" t="n"/>
      <c r="O31" s="6">
        <f>IF(COUNTA(L31:N31)&gt;0,SUM(L31:N31),IF(P31="", "", P31))</f>
        <v/>
      </c>
      <c r="P31" s="3" t="n">
        <v>4</v>
      </c>
      <c r="Q31" s="3" t="n"/>
      <c r="R31" s="3" t="n">
        <v>16</v>
      </c>
      <c r="S31" s="6">
        <f>IF(OR(C31="",J31="",O31=""),"",C31+J31-O31)</f>
        <v/>
      </c>
      <c r="T31" s="3" t="n">
        <v>21</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DATE(2025,8,26)</f>
        <v/>
      </c>
      <c r="B32" s="6" t="n">
        <v>26</v>
      </c>
      <c r="C32" s="6">
        <f>Q31</f>
        <v/>
      </c>
      <c r="D32" s="3" t="n"/>
      <c r="E32" s="3" t="n"/>
      <c r="F32" s="3" t="n"/>
      <c r="G32" s="3" t="n"/>
      <c r="H32" s="3" t="n"/>
      <c r="I32" s="3" t="n"/>
      <c r="J32" s="6">
        <f>IF(COUNTA(D32:I32)&gt;0,SUM(D32:I32),IF(K32="", "", K32))</f>
        <v/>
      </c>
      <c r="K32" s="3" t="n">
        <v>3</v>
      </c>
      <c r="L32" s="3" t="n"/>
      <c r="M32" s="4" t="n"/>
      <c r="N32" s="3" t="n"/>
      <c r="O32" s="6">
        <f>IF(COUNTA(L32:N32)&gt;0,SUM(L32:N32),IF(P32="", "", P32))</f>
        <v/>
      </c>
      <c r="P32" s="3" t="n">
        <v>1</v>
      </c>
      <c r="Q32" s="3" t="n"/>
      <c r="R32" s="3" t="n">
        <v>16</v>
      </c>
      <c r="S32" s="6">
        <f>IF(OR(C32="",J32="",O32=""),"",C32+J32-O32)</f>
        <v/>
      </c>
      <c r="T32" s="3" t="n">
        <v>16</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DATE(2025,8,27)</f>
        <v/>
      </c>
      <c r="B33" s="6" t="n">
        <v>27</v>
      </c>
      <c r="C33" s="6">
        <f>Q32</f>
        <v/>
      </c>
      <c r="D33" s="3" t="n"/>
      <c r="E33" s="3" t="n"/>
      <c r="F33" s="3" t="n"/>
      <c r="G33" s="3" t="n"/>
      <c r="H33" s="3" t="n"/>
      <c r="I33" s="3" t="n"/>
      <c r="J33" s="6">
        <f>IF(COUNTA(D33:I33)&gt;0,SUM(D33:I33),IF(K33="", "", K33))</f>
        <v/>
      </c>
      <c r="K33" s="3" t="n">
        <v>2</v>
      </c>
      <c r="L33" s="3" t="n"/>
      <c r="M33" s="4" t="n"/>
      <c r="N33" s="3" t="n"/>
      <c r="O33" s="6">
        <f>IF(COUNTA(L33:N33)&gt;0,SUM(L33:N33),IF(P33="", "", P33))</f>
        <v/>
      </c>
      <c r="P33" s="3" t="n">
        <v>2</v>
      </c>
      <c r="Q33" s="3" t="n"/>
      <c r="R33" s="3" t="n">
        <v>16</v>
      </c>
      <c r="S33" s="6">
        <f>IF(OR(C33="",J33="",O33=""),"",C33+J33-O33)</f>
        <v/>
      </c>
      <c r="T33" s="3" t="n">
        <v>20</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DATE(2025,8,28)</f>
        <v/>
      </c>
      <c r="B34" s="6" t="n">
        <v>28</v>
      </c>
      <c r="C34" s="6">
        <f>Q33</f>
        <v/>
      </c>
      <c r="D34" s="3" t="n"/>
      <c r="E34" s="3" t="n"/>
      <c r="F34" s="3" t="n"/>
      <c r="G34" s="3" t="n"/>
      <c r="H34" s="3" t="n"/>
      <c r="I34" s="3" t="n"/>
      <c r="J34" s="6">
        <f>IF(COUNTA(D34:I34)&gt;0,SUM(D34:I34),IF(K34="", "", K34))</f>
        <v/>
      </c>
      <c r="K34" s="3" t="n">
        <v>2</v>
      </c>
      <c r="L34" s="3" t="n"/>
      <c r="M34" s="4" t="n"/>
      <c r="N34" s="3" t="n"/>
      <c r="O34" s="6">
        <f>IF(COUNTA(L34:N34)&gt;0,SUM(L34:N34),IF(P34="", "", P34))</f>
        <v/>
      </c>
      <c r="P34" s="3" t="n">
        <v>1</v>
      </c>
      <c r="Q34" s="3" t="n"/>
      <c r="R34" s="3" t="n">
        <v>16</v>
      </c>
      <c r="S34" s="6">
        <f>IF(OR(C34="",J34="",O34=""),"",C34+J34-O34)</f>
        <v/>
      </c>
      <c r="T34" s="3" t="n">
        <v>3</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DATE(2025,8,29)</f>
        <v/>
      </c>
      <c r="B35" s="6" t="n">
        <v>29</v>
      </c>
      <c r="C35" s="6">
        <f>Q34</f>
        <v/>
      </c>
      <c r="D35" s="3" t="n"/>
      <c r="E35" s="3" t="n"/>
      <c r="F35" s="3" t="n"/>
      <c r="G35" s="3" t="n"/>
      <c r="H35" s="3" t="n"/>
      <c r="I35" s="3" t="n"/>
      <c r="J35" s="6">
        <f>IF(COUNTA(D35:I35)&gt;0,SUM(D35:I35),IF(K35="", "", K35))</f>
        <v/>
      </c>
      <c r="K35" s="3" t="n">
        <v>2</v>
      </c>
      <c r="L35" s="3" t="n"/>
      <c r="M35" s="4" t="n"/>
      <c r="N35" s="3" t="n"/>
      <c r="O35" s="6">
        <f>IF(COUNTA(L35:N35)&gt;0,SUM(L35:N35),IF(P35="", "", P35))</f>
        <v/>
      </c>
      <c r="P35" s="3" t="n">
        <v>5</v>
      </c>
      <c r="Q35" s="3" t="n"/>
      <c r="R35" s="3" t="n">
        <v>16</v>
      </c>
      <c r="S35" s="6">
        <f>IF(OR(C35="",J35="",O35=""),"",C35+J35-O35)</f>
        <v/>
      </c>
      <c r="T35" s="3" t="n">
        <v>47</v>
      </c>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DATE(2025,8,30)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v>1</v>
      </c>
      <c r="Q36" s="3" t="n"/>
      <c r="R36" s="3" t="n">
        <v>16</v>
      </c>
      <c r="S36" s="6">
        <f>IF(OR(C36="",J36="",O36=""),"",C36+J36-O36)</f>
        <v/>
      </c>
      <c r="T36" s="3" t="n">
        <v>3</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DATE(2025,8,31)</f>
        <v/>
      </c>
      <c r="B37" s="6" t="n">
        <v>31</v>
      </c>
      <c r="C37" s="6">
        <f>Q36</f>
        <v/>
      </c>
      <c r="D37" s="3" t="n"/>
      <c r="E37" s="3" t="n"/>
      <c r="F37" s="3" t="n"/>
      <c r="G37" s="3" t="n"/>
      <c r="H37" s="3" t="n"/>
      <c r="I37" s="3" t="n"/>
      <c r="J37" s="6">
        <f>IF(COUNTA(D37:I37)&gt;0,SUM(D37:I37),IF(K37="", "", K37))</f>
        <v/>
      </c>
      <c r="K37" s="3" t="n">
        <v>4</v>
      </c>
      <c r="L37" s="3" t="n"/>
      <c r="M37" s="4" t="n"/>
      <c r="N37" s="3" t="n"/>
      <c r="O37" s="6">
        <f>IF(COUNTA(L37:N37)&gt;0,SUM(L37:N37),IF(P37="", "", P37))</f>
        <v/>
      </c>
      <c r="P37" s="3" t="n">
        <v>1</v>
      </c>
      <c r="Q37" s="3" t="n"/>
      <c r="R37" s="3" t="n">
        <v>16</v>
      </c>
      <c r="S37" s="6">
        <f>IF(OR(C37="",J37="",O37=""),"",C37+J37-O37)</f>
        <v/>
      </c>
      <c r="T37" s="3" t="n">
        <v>10</v>
      </c>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SEPTIEMBRE 2025</t>
        </is>
      </c>
    </row>
    <row r="2">
      <c r="A2" s="2" t="inlineStr">
        <is>
          <t>Servicio</t>
        </is>
      </c>
      <c r="B2" s="6">
        <f>01_PARAMETROS!B3</f>
        <v/>
      </c>
      <c r="C2" s="2" t="inlineStr">
        <is>
          <t>Codigo</t>
        </is>
      </c>
      <c r="D2" s="6">
        <f>01_PARAMETROS!B4</f>
        <v/>
      </c>
      <c r="E2" s="2" t="inlineStr">
        <is>
          <t>Mes</t>
        </is>
      </c>
      <c r="F2" s="3" t="inlineStr">
        <is>
          <t>SEPTIEMBRE</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DATE(2025,9,1)</f>
        <v/>
      </c>
      <c r="B7" s="6" t="n">
        <v>1</v>
      </c>
      <c r="C7" s="3" t="n">
        <v>18</v>
      </c>
      <c r="D7" s="3" t="n"/>
      <c r="E7" s="3" t="n"/>
      <c r="F7" s="3" t="n"/>
      <c r="G7" s="3" t="n"/>
      <c r="H7" s="3" t="n"/>
      <c r="I7" s="3" t="n"/>
      <c r="J7" s="6">
        <f>IF(COUNTA(D7:I7)&gt;0,SUM(D7:I7),IF(K7="", "", K7))</f>
        <v/>
      </c>
      <c r="K7" s="3" t="n">
        <v>3</v>
      </c>
      <c r="L7" s="3" t="n"/>
      <c r="M7" s="4" t="n"/>
      <c r="N7" s="3" t="n"/>
      <c r="O7" s="6">
        <f>IF(COUNTA(L7:N7)&gt;0,SUM(L7:N7),IF(P7="", "", P7))</f>
        <v/>
      </c>
      <c r="P7" s="3" t="n">
        <v>3</v>
      </c>
      <c r="Q7" s="3" t="n"/>
      <c r="R7" s="3" t="n">
        <v>20</v>
      </c>
      <c r="S7" s="6">
        <f>IF(OR(C7="",J7="",O7=""),"",C7+J7-O7)</f>
        <v/>
      </c>
      <c r="T7" s="3" t="n">
        <v>28</v>
      </c>
      <c r="U7" s="3" t="n"/>
      <c r="V7" s="3" t="n"/>
      <c r="W7" s="6">
        <f>IF(Z7=1,"FALTAN DATOS",IF(S7&lt;0,"OCUPACION NEGATIVA",IF(X7=1,"SOBREOCUPACION",IF(Y7&lt;&gt;0,"BALANCE RARO","OK"))))</f>
        <v/>
      </c>
      <c r="X7" s="6">
        <f>IF(AND(R7&lt;&gt;"",S7&gt;R7),1,0)</f>
        <v/>
      </c>
      <c r="Y7" s="6">
        <f>IF(OR(C7="",J7="",O7="",S7=""),"",C7+J7-O7-S7)</f>
        <v/>
      </c>
      <c r="Z7" s="6">
        <f>IF(OR(R7="",A7="",B7="",C7="",J7="",O7=""),1,0)</f>
        <v/>
      </c>
    </row>
    <row r="8">
      <c r="A8" s="6">
        <f>DATE(2025,9,2)</f>
        <v/>
      </c>
      <c r="B8" s="6" t="n">
        <v>2</v>
      </c>
      <c r="C8" s="6">
        <f>Q7</f>
        <v/>
      </c>
      <c r="D8" s="3" t="n"/>
      <c r="E8" s="3" t="n"/>
      <c r="F8" s="3" t="n"/>
      <c r="G8" s="3" t="n"/>
      <c r="H8" s="3" t="n"/>
      <c r="I8" s="3" t="n"/>
      <c r="J8" s="6">
        <f>IF(COUNTA(D8:I8)&gt;0,SUM(D8:I8),IF(K8="", "", K8))</f>
        <v/>
      </c>
      <c r="K8" s="3" t="n">
        <v>4</v>
      </c>
      <c r="L8" s="3" t="n"/>
      <c r="M8" s="4" t="n"/>
      <c r="N8" s="3" t="n"/>
      <c r="O8" s="6">
        <f>IF(COUNTA(L8:N8)&gt;0,SUM(L8:N8),IF(P8="", "", P8))</f>
        <v/>
      </c>
      <c r="P8" s="3" t="n"/>
      <c r="Q8" s="3" t="n"/>
      <c r="R8" s="3" t="n">
        <v>20</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DATE(2025,9,3)</f>
        <v/>
      </c>
      <c r="B9" s="6" t="n">
        <v>3</v>
      </c>
      <c r="C9" s="6">
        <f>Q8</f>
        <v/>
      </c>
      <c r="D9" s="3" t="n"/>
      <c r="E9" s="3" t="n"/>
      <c r="F9" s="3" t="n"/>
      <c r="G9" s="3" t="n"/>
      <c r="H9" s="3" t="n"/>
      <c r="I9" s="3" t="n"/>
      <c r="J9" s="6">
        <f>IF(COUNTA(D9:I9)&gt;0,SUM(D9:I9),IF(K9="", "", K9))</f>
        <v/>
      </c>
      <c r="K9" s="3" t="n">
        <v>4</v>
      </c>
      <c r="L9" s="3" t="n"/>
      <c r="M9" s="4" t="n"/>
      <c r="N9" s="3" t="n"/>
      <c r="O9" s="6">
        <f>IF(COUNTA(L9:N9)&gt;0,SUM(L9:N9),IF(P9="", "", P9))</f>
        <v/>
      </c>
      <c r="P9" s="3" t="n">
        <v>2</v>
      </c>
      <c r="Q9" s="3" t="n"/>
      <c r="R9" s="3" t="n">
        <v>20</v>
      </c>
      <c r="S9" s="6">
        <f>IF(OR(C9="",J9="",O9=""),"",C9+J9-O9)</f>
        <v/>
      </c>
      <c r="T9" s="3" t="n">
        <v>17</v>
      </c>
      <c r="U9" s="3" t="n"/>
      <c r="V9" s="3" t="n"/>
      <c r="W9" s="6">
        <f>IF(Z9=1,"FALTAN DATOS",IF(S9&lt;0,"OCUPACION NEGATIVA",IF(X9=1,"SOBREOCUPACION",IF(Y9&lt;&gt;0,"BALANCE RARO","OK"))))</f>
        <v/>
      </c>
      <c r="X9" s="6">
        <f>IF(AND(R9&lt;&gt;"",S9&gt;R9),1,0)</f>
        <v/>
      </c>
      <c r="Y9" s="6">
        <f>IF(OR(C9="",J9="",O9="",S9=""),"",C9+J9-O9-S9)</f>
        <v/>
      </c>
      <c r="Z9" s="6">
        <f>IF(OR(R9="",A9="",B9="",C9="",J9="",O9=""),1,0)</f>
        <v/>
      </c>
    </row>
    <row r="10">
      <c r="A10" s="6">
        <f>DATE(2025,9,4)</f>
        <v/>
      </c>
      <c r="B10" s="6" t="n">
        <v>4</v>
      </c>
      <c r="C10" s="6">
        <f>Q9</f>
        <v/>
      </c>
      <c r="D10" s="3" t="n"/>
      <c r="E10" s="3" t="n"/>
      <c r="F10" s="3" t="n"/>
      <c r="G10" s="3" t="n"/>
      <c r="H10" s="3" t="n"/>
      <c r="I10" s="3" t="n"/>
      <c r="J10" s="6">
        <f>IF(COUNTA(D10:I10)&gt;0,SUM(D10:I10),IF(K10="", "", K10))</f>
        <v/>
      </c>
      <c r="K10" s="3" t="n">
        <v>2</v>
      </c>
      <c r="L10" s="3" t="n"/>
      <c r="M10" s="4" t="n"/>
      <c r="N10" s="3" t="n"/>
      <c r="O10" s="6">
        <f>IF(COUNTA(L10:N10)&gt;0,SUM(L10:N10),IF(P10="", "", P10))</f>
        <v/>
      </c>
      <c r="P10" s="3" t="n">
        <v>1</v>
      </c>
      <c r="Q10" s="3" t="n"/>
      <c r="R10" s="3" t="n">
        <v>20</v>
      </c>
      <c r="S10" s="6">
        <f>IF(OR(C10="",J10="",O10=""),"",C10+J10-O10)</f>
        <v/>
      </c>
      <c r="T10" s="3" t="n">
        <v>10</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DATE(2025,9,5)</f>
        <v/>
      </c>
      <c r="B11" s="6" t="n">
        <v>5</v>
      </c>
      <c r="C11" s="6">
        <f>Q10</f>
        <v/>
      </c>
      <c r="D11" s="3" t="n"/>
      <c r="E11" s="3" t="n"/>
      <c r="F11" s="3" t="n"/>
      <c r="G11" s="3" t="n"/>
      <c r="H11" s="3" t="n"/>
      <c r="I11" s="3" t="n"/>
      <c r="J11" s="6">
        <f>IF(COUNTA(D11:I11)&gt;0,SUM(D11:I11),IF(K11="", "", K11))</f>
        <v/>
      </c>
      <c r="K11" s="3" t="n">
        <v>2</v>
      </c>
      <c r="L11" s="3" t="n"/>
      <c r="M11" s="4" t="n"/>
      <c r="N11" s="3" t="n"/>
      <c r="O11" s="6">
        <f>IF(COUNTA(L11:N11)&gt;0,SUM(L11:N11),IF(P11="", "", P11))</f>
        <v/>
      </c>
      <c r="P11" s="3" t="n">
        <v>3</v>
      </c>
      <c r="Q11" s="3" t="n"/>
      <c r="R11" s="3" t="n">
        <v>20</v>
      </c>
      <c r="S11" s="6">
        <f>IF(OR(C11="",J11="",O11=""),"",C11+J11-O11)</f>
        <v/>
      </c>
      <c r="T11" s="3" t="n">
        <v>15</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DATE(2025,9,6)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v>20</v>
      </c>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DATE(2025,9,7)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v>2</v>
      </c>
      <c r="Q13" s="3" t="n"/>
      <c r="R13" s="3" t="n">
        <v>20</v>
      </c>
      <c r="S13" s="6">
        <f>IF(OR(C13="",J13="",O13=""),"",C13+J13-O13)</f>
        <v/>
      </c>
      <c r="T13" s="3" t="n">
        <v>11</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DATE(2025,9,8)</f>
        <v/>
      </c>
      <c r="B14" s="6" t="n">
        <v>8</v>
      </c>
      <c r="C14" s="6">
        <f>Q13</f>
        <v/>
      </c>
      <c r="D14" s="3" t="n"/>
      <c r="E14" s="3" t="n"/>
      <c r="F14" s="3" t="n"/>
      <c r="G14" s="3" t="n"/>
      <c r="H14" s="3" t="n"/>
      <c r="I14" s="3" t="n"/>
      <c r="J14" s="6">
        <f>IF(COUNTA(D14:I14)&gt;0,SUM(D14:I14),IF(K14="", "", K14))</f>
        <v/>
      </c>
      <c r="K14" s="3" t="n">
        <v>4</v>
      </c>
      <c r="L14" s="3" t="n"/>
      <c r="M14" s="4" t="n"/>
      <c r="N14" s="3" t="n"/>
      <c r="O14" s="6">
        <f>IF(COUNTA(L14:N14)&gt;0,SUM(L14:N14),IF(P14="", "", P14))</f>
        <v/>
      </c>
      <c r="P14" s="3" t="n">
        <v>6</v>
      </c>
      <c r="Q14" s="3" t="n"/>
      <c r="R14" s="3" t="n">
        <v>20</v>
      </c>
      <c r="S14" s="6">
        <f>IF(OR(C14="",J14="",O14=""),"",C14+J14-O14)</f>
        <v/>
      </c>
      <c r="T14" s="3" t="n">
        <v>52</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DATE(2025,9,9)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v>2</v>
      </c>
      <c r="Q15" s="3" t="n"/>
      <c r="R15" s="3" t="n">
        <v>20</v>
      </c>
      <c r="S15" s="6">
        <f>IF(OR(C15="",J15="",O15=""),"",C15+J15-O15)</f>
        <v/>
      </c>
      <c r="T15" s="3" t="n">
        <v>20</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DATE(2025,9,10)</f>
        <v/>
      </c>
      <c r="B16" s="6" t="n">
        <v>10</v>
      </c>
      <c r="C16" s="6">
        <f>Q15</f>
        <v/>
      </c>
      <c r="D16" s="3" t="n"/>
      <c r="E16" s="3" t="n"/>
      <c r="F16" s="3" t="n"/>
      <c r="G16" s="3" t="n"/>
      <c r="H16" s="3" t="n"/>
      <c r="I16" s="3" t="n"/>
      <c r="J16" s="6">
        <f>IF(COUNTA(D16:I16)&gt;0,SUM(D16:I16),IF(K16="", "", K16))</f>
        <v/>
      </c>
      <c r="K16" s="3" t="n">
        <v>3</v>
      </c>
      <c r="L16" s="3" t="n"/>
      <c r="M16" s="4" t="n"/>
      <c r="N16" s="3" t="n"/>
      <c r="O16" s="6">
        <f>IF(COUNTA(L16:N16)&gt;0,SUM(L16:N16),IF(P16="", "", P16))</f>
        <v/>
      </c>
      <c r="P16" s="3" t="n">
        <v>4</v>
      </c>
      <c r="Q16" s="3" t="n"/>
      <c r="R16" s="3" t="n">
        <v>20</v>
      </c>
      <c r="S16" s="6">
        <f>IF(OR(C16="",J16="",O16=""),"",C16+J16-O16)</f>
        <v/>
      </c>
      <c r="T16" s="3" t="n">
        <v>31</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DATE(2025,9,11)</f>
        <v/>
      </c>
      <c r="B17" s="6" t="n">
        <v>11</v>
      </c>
      <c r="C17" s="6">
        <f>Q16</f>
        <v/>
      </c>
      <c r="D17" s="3" t="n"/>
      <c r="E17" s="3" t="n"/>
      <c r="F17" s="3" t="n"/>
      <c r="G17" s="3" t="n"/>
      <c r="H17" s="3" t="n"/>
      <c r="I17" s="3" t="n"/>
      <c r="J17" s="6">
        <f>IF(COUNTA(D17:I17)&gt;0,SUM(D17:I17),IF(K17="", "", K17))</f>
        <v/>
      </c>
      <c r="K17" s="3" t="n">
        <v>3</v>
      </c>
      <c r="L17" s="3" t="n"/>
      <c r="M17" s="4" t="n"/>
      <c r="N17" s="3" t="n"/>
      <c r="O17" s="6">
        <f>IF(COUNTA(L17:N17)&gt;0,SUM(L17:N17),IF(P17="", "", P17))</f>
        <v/>
      </c>
      <c r="P17" s="3" t="n">
        <v>1</v>
      </c>
      <c r="Q17" s="3" t="n"/>
      <c r="R17" s="3" t="n">
        <v>20</v>
      </c>
      <c r="S17" s="6">
        <f>IF(OR(C17="",J17="",O17=""),"",C17+J17-O17)</f>
        <v/>
      </c>
      <c r="T17" s="3" t="n">
        <v>6</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DATE(2025,9,12)</f>
        <v/>
      </c>
      <c r="B18" s="6" t="n">
        <v>12</v>
      </c>
      <c r="C18" s="6">
        <f>Q17</f>
        <v/>
      </c>
      <c r="D18" s="3" t="n"/>
      <c r="E18" s="3" t="n"/>
      <c r="F18" s="3" t="n"/>
      <c r="G18" s="3" t="n"/>
      <c r="H18" s="3" t="n"/>
      <c r="I18" s="3" t="n"/>
      <c r="J18" s="6">
        <f>IF(COUNTA(D18:I18)&gt;0,SUM(D18:I18),IF(K18="", "", K18))</f>
        <v/>
      </c>
      <c r="K18" s="3" t="n">
        <v>5</v>
      </c>
      <c r="L18" s="3" t="n"/>
      <c r="M18" s="4" t="n"/>
      <c r="N18" s="3" t="n"/>
      <c r="O18" s="6">
        <f>IF(COUNTA(L18:N18)&gt;0,SUM(L18:N18),IF(P18="", "", P18))</f>
        <v/>
      </c>
      <c r="P18" s="3" t="n">
        <v>2</v>
      </c>
      <c r="Q18" s="3" t="n"/>
      <c r="R18" s="3" t="n">
        <v>20</v>
      </c>
      <c r="S18" s="6">
        <f>IF(OR(C18="",J18="",O18=""),"",C18+J18-O18)</f>
        <v/>
      </c>
      <c r="T18" s="3" t="n">
        <v>20</v>
      </c>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DATE(2025,9,13)</f>
        <v/>
      </c>
      <c r="B19" s="6" t="n">
        <v>13</v>
      </c>
      <c r="C19" s="6">
        <f>Q18</f>
        <v/>
      </c>
      <c r="D19" s="3" t="n"/>
      <c r="E19" s="3" t="n"/>
      <c r="F19" s="3" t="n"/>
      <c r="G19" s="3" t="n"/>
      <c r="H19" s="3" t="n"/>
      <c r="I19" s="3" t="n"/>
      <c r="J19" s="6">
        <f>IF(COUNTA(D19:I19)&gt;0,SUM(D19:I19),IF(K19="", "", K19))</f>
        <v/>
      </c>
      <c r="K19" s="3" t="n">
        <v>1</v>
      </c>
      <c r="L19" s="3" t="n"/>
      <c r="M19" s="4" t="n"/>
      <c r="N19" s="3" t="n"/>
      <c r="O19" s="6">
        <f>IF(COUNTA(L19:N19)&gt;0,SUM(L19:N19),IF(P19="", "", P19))</f>
        <v/>
      </c>
      <c r="P19" s="3" t="n"/>
      <c r="Q19" s="3" t="n"/>
      <c r="R19" s="3" t="n">
        <v>20</v>
      </c>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DATE(2025,9,14)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v>1</v>
      </c>
      <c r="Q20" s="3" t="n"/>
      <c r="R20" s="3" t="n">
        <v>20</v>
      </c>
      <c r="S20" s="6">
        <f>IF(OR(C20="",J20="",O20=""),"",C20+J20-O20)</f>
        <v/>
      </c>
      <c r="T20" s="3" t="n">
        <v>17</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DATE(2025,9,15)</f>
        <v/>
      </c>
      <c r="B21" s="6" t="n">
        <v>15</v>
      </c>
      <c r="C21" s="6">
        <f>Q20</f>
        <v/>
      </c>
      <c r="D21" s="3" t="n"/>
      <c r="E21" s="3" t="n"/>
      <c r="F21" s="3" t="n"/>
      <c r="G21" s="3" t="n"/>
      <c r="H21" s="3" t="n"/>
      <c r="I21" s="3" t="n"/>
      <c r="J21" s="6">
        <f>IF(COUNTA(D21:I21)&gt;0,SUM(D21:I21),IF(K21="", "", K21))</f>
        <v/>
      </c>
      <c r="K21" s="3" t="n">
        <v>2</v>
      </c>
      <c r="L21" s="3" t="n"/>
      <c r="M21" s="4" t="n"/>
      <c r="N21" s="3" t="n"/>
      <c r="O21" s="6">
        <f>IF(COUNTA(L21:N21)&gt;0,SUM(L21:N21),IF(P21="", "", P21))</f>
        <v/>
      </c>
      <c r="P21" s="3" t="n">
        <v>5</v>
      </c>
      <c r="Q21" s="3" t="n"/>
      <c r="R21" s="3" t="n">
        <v>20</v>
      </c>
      <c r="S21" s="6">
        <f>IF(OR(C21="",J21="",O21=""),"",C21+J21-O21)</f>
        <v/>
      </c>
      <c r="T21" s="3" t="n">
        <v>25</v>
      </c>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DATE(2025,9,16)</f>
        <v/>
      </c>
      <c r="B22" s="6" t="n">
        <v>16</v>
      </c>
      <c r="C22" s="6">
        <f>Q21</f>
        <v/>
      </c>
      <c r="D22" s="3" t="n"/>
      <c r="E22" s="3" t="n"/>
      <c r="F22" s="3" t="n"/>
      <c r="G22" s="3" t="n"/>
      <c r="H22" s="3" t="n"/>
      <c r="I22" s="3" t="n"/>
      <c r="J22" s="6">
        <f>IF(COUNTA(D22:I22)&gt;0,SUM(D22:I22),IF(K22="", "", K22))</f>
        <v/>
      </c>
      <c r="K22" s="3" t="n">
        <v>2</v>
      </c>
      <c r="L22" s="3" t="n"/>
      <c r="M22" s="4" t="n"/>
      <c r="N22" s="3" t="n"/>
      <c r="O22" s="6">
        <f>IF(COUNTA(L22:N22)&gt;0,SUM(L22:N22),IF(P22="", "", P22))</f>
        <v/>
      </c>
      <c r="P22" s="3" t="n"/>
      <c r="Q22" s="3" t="n"/>
      <c r="R22" s="3" t="n">
        <v>20</v>
      </c>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DATE(2025,9,17)</f>
        <v/>
      </c>
      <c r="B23" s="6" t="n">
        <v>17</v>
      </c>
      <c r="C23" s="6">
        <f>Q22</f>
        <v/>
      </c>
      <c r="D23" s="3" t="n"/>
      <c r="E23" s="3" t="n"/>
      <c r="F23" s="3" t="n"/>
      <c r="G23" s="3" t="n"/>
      <c r="H23" s="3" t="n"/>
      <c r="I23" s="3" t="n"/>
      <c r="J23" s="6">
        <f>IF(COUNTA(D23:I23)&gt;0,SUM(D23:I23),IF(K23="", "", K23))</f>
        <v/>
      </c>
      <c r="K23" s="3" t="n">
        <v>1</v>
      </c>
      <c r="L23" s="3" t="n"/>
      <c r="M23" s="4" t="n"/>
      <c r="N23" s="3" t="n"/>
      <c r="O23" s="6">
        <f>IF(COUNTA(L23:N23)&gt;0,SUM(L23:N23),IF(P23="", "", P23))</f>
        <v/>
      </c>
      <c r="P23" s="3" t="n">
        <v>3</v>
      </c>
      <c r="Q23" s="3" t="n"/>
      <c r="R23" s="3" t="n">
        <v>20</v>
      </c>
      <c r="S23" s="6">
        <f>IF(OR(C23="",J23="",O23=""),"",C23+J23-O23)</f>
        <v/>
      </c>
      <c r="T23" s="3" t="n">
        <v>24</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DATE(2025,9,18)</f>
        <v/>
      </c>
      <c r="B24" s="6" t="n">
        <v>18</v>
      </c>
      <c r="C24" s="6">
        <f>Q23</f>
        <v/>
      </c>
      <c r="D24" s="3" t="n"/>
      <c r="E24" s="3" t="n"/>
      <c r="F24" s="3" t="n"/>
      <c r="G24" s="3" t="n"/>
      <c r="H24" s="3" t="n"/>
      <c r="I24" s="3" t="n"/>
      <c r="J24" s="6">
        <f>IF(COUNTA(D24:I24)&gt;0,SUM(D24:I24),IF(K24="", "", K24))</f>
        <v/>
      </c>
      <c r="K24" s="3" t="n">
        <v>2</v>
      </c>
      <c r="L24" s="3" t="n"/>
      <c r="M24" s="4" t="n"/>
      <c r="N24" s="3" t="n"/>
      <c r="O24" s="6">
        <f>IF(COUNTA(L24:N24)&gt;0,SUM(L24:N24),IF(P24="", "", P24))</f>
        <v/>
      </c>
      <c r="P24" s="3" t="n"/>
      <c r="Q24" s="3" t="n"/>
      <c r="R24" s="3" t="n">
        <v>20</v>
      </c>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DATE(2025,9,19)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v>20</v>
      </c>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DATE(2025,9,20)</f>
        <v/>
      </c>
      <c r="B26" s="6" t="n">
        <v>20</v>
      </c>
      <c r="C26" s="6">
        <f>Q25</f>
        <v/>
      </c>
      <c r="D26" s="3" t="n"/>
      <c r="E26" s="3" t="n"/>
      <c r="F26" s="3" t="n"/>
      <c r="G26" s="3" t="n"/>
      <c r="H26" s="3" t="n"/>
      <c r="I26" s="3" t="n"/>
      <c r="J26" s="6">
        <f>IF(COUNTA(D26:I26)&gt;0,SUM(D26:I26),IF(K26="", "", K26))</f>
        <v/>
      </c>
      <c r="K26" s="3" t="n">
        <v>1</v>
      </c>
      <c r="L26" s="3" t="n"/>
      <c r="M26" s="4" t="n"/>
      <c r="N26" s="3" t="n"/>
      <c r="O26" s="6">
        <f>IF(COUNTA(L26:N26)&gt;0,SUM(L26:N26),IF(P26="", "", P26))</f>
        <v/>
      </c>
      <c r="P26" s="3" t="n">
        <v>1</v>
      </c>
      <c r="Q26" s="3" t="n"/>
      <c r="R26" s="3" t="n">
        <v>20</v>
      </c>
      <c r="S26" s="6">
        <f>IF(OR(C26="",J26="",O26=""),"",C26+J26-O26)</f>
        <v/>
      </c>
      <c r="T26" s="3" t="n">
        <v>10</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DATE(2025,9,21)</f>
        <v/>
      </c>
      <c r="B27" s="6" t="n">
        <v>21</v>
      </c>
      <c r="C27" s="6">
        <f>Q26</f>
        <v/>
      </c>
      <c r="D27" s="3" t="n"/>
      <c r="E27" s="3" t="n"/>
      <c r="F27" s="3" t="n"/>
      <c r="G27" s="3" t="n"/>
      <c r="H27" s="3" t="n"/>
      <c r="I27" s="3" t="n"/>
      <c r="J27" s="6">
        <f>IF(COUNTA(D27:I27)&gt;0,SUM(D27:I27),IF(K27="", "", K27))</f>
        <v/>
      </c>
      <c r="K27" s="3" t="n">
        <v>1</v>
      </c>
      <c r="L27" s="3" t="n"/>
      <c r="M27" s="4" t="n"/>
      <c r="N27" s="3" t="n"/>
      <c r="O27" s="6">
        <f>IF(COUNTA(L27:N27)&gt;0,SUM(L27:N27),IF(P27="", "", P27))</f>
        <v/>
      </c>
      <c r="P27" s="3" t="n">
        <v>1</v>
      </c>
      <c r="Q27" s="3" t="n"/>
      <c r="R27" s="3" t="n">
        <v>20</v>
      </c>
      <c r="S27" s="6">
        <f>IF(OR(C27="",J27="",O27=""),"",C27+J27-O27)</f>
        <v/>
      </c>
      <c r="T27" s="3" t="n">
        <v>9</v>
      </c>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DATE(2025,9,22)</f>
        <v/>
      </c>
      <c r="B28" s="6" t="n">
        <v>22</v>
      </c>
      <c r="C28" s="6">
        <f>Q27</f>
        <v/>
      </c>
      <c r="D28" s="3" t="n"/>
      <c r="E28" s="3" t="n"/>
      <c r="F28" s="3" t="n"/>
      <c r="G28" s="3" t="n"/>
      <c r="H28" s="3" t="n"/>
      <c r="I28" s="3" t="n"/>
      <c r="J28" s="6">
        <f>IF(COUNTA(D28:I28)&gt;0,SUM(D28:I28),IF(K28="", "", K28))</f>
        <v/>
      </c>
      <c r="K28" s="3" t="n">
        <v>1</v>
      </c>
      <c r="L28" s="3" t="n"/>
      <c r="M28" s="4" t="n"/>
      <c r="N28" s="3" t="n"/>
      <c r="O28" s="6">
        <f>IF(COUNTA(L28:N28)&gt;0,SUM(L28:N28),IF(P28="", "", P28))</f>
        <v/>
      </c>
      <c r="P28" s="3" t="n"/>
      <c r="Q28" s="3" t="n"/>
      <c r="R28" s="3" t="n">
        <v>20</v>
      </c>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DATE(2025,9,23)</f>
        <v/>
      </c>
      <c r="B29" s="6" t="n">
        <v>23</v>
      </c>
      <c r="C29" s="6">
        <f>Q28</f>
        <v/>
      </c>
      <c r="D29" s="3" t="n"/>
      <c r="E29" s="3" t="n"/>
      <c r="F29" s="3" t="n"/>
      <c r="G29" s="3" t="n"/>
      <c r="H29" s="3" t="n"/>
      <c r="I29" s="3" t="n"/>
      <c r="J29" s="6">
        <f>IF(COUNTA(D29:I29)&gt;0,SUM(D29:I29),IF(K29="", "", K29))</f>
        <v/>
      </c>
      <c r="K29" s="3" t="n">
        <v>1</v>
      </c>
      <c r="L29" s="3" t="n"/>
      <c r="M29" s="4" t="n"/>
      <c r="N29" s="3" t="n"/>
      <c r="O29" s="6">
        <f>IF(COUNTA(L29:N29)&gt;0,SUM(L29:N29),IF(P29="", "", P29))</f>
        <v/>
      </c>
      <c r="P29" s="3" t="n">
        <v>4</v>
      </c>
      <c r="Q29" s="3" t="n"/>
      <c r="R29" s="3" t="n">
        <v>20</v>
      </c>
      <c r="S29" s="6">
        <f>IF(OR(C29="",J29="",O29=""),"",C29+J29-O29)</f>
        <v/>
      </c>
      <c r="T29" s="3" t="n">
        <v>46</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DATE(2025,9,24)</f>
        <v/>
      </c>
      <c r="B30" s="6" t="n">
        <v>24</v>
      </c>
      <c r="C30" s="6">
        <f>Q29</f>
        <v/>
      </c>
      <c r="D30" s="3" t="n"/>
      <c r="E30" s="3" t="n"/>
      <c r="F30" s="3" t="n"/>
      <c r="G30" s="3" t="n"/>
      <c r="H30" s="3" t="n"/>
      <c r="I30" s="3" t="n"/>
      <c r="J30" s="6">
        <f>IF(COUNTA(D30:I30)&gt;0,SUM(D30:I30),IF(K30="", "", K30))</f>
        <v/>
      </c>
      <c r="K30" s="3" t="n">
        <v>1</v>
      </c>
      <c r="L30" s="3" t="n"/>
      <c r="M30" s="4" t="n"/>
      <c r="N30" s="3" t="n"/>
      <c r="O30" s="6">
        <f>IF(COUNTA(L30:N30)&gt;0,SUM(L30:N30),IF(P30="", "", P30))</f>
        <v/>
      </c>
      <c r="P30" s="3" t="n">
        <v>3</v>
      </c>
      <c r="Q30" s="3" t="n"/>
      <c r="R30" s="3" t="n">
        <v>20</v>
      </c>
      <c r="S30" s="6">
        <f>IF(OR(C30="",J30="",O30=""),"",C30+J30-O30)</f>
        <v/>
      </c>
      <c r="T30" s="3" t="n">
        <v>31</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DATE(2025,9,25)</f>
        <v/>
      </c>
      <c r="B31" s="6" t="n">
        <v>25</v>
      </c>
      <c r="C31" s="6">
        <f>Q30</f>
        <v/>
      </c>
      <c r="D31" s="3" t="n"/>
      <c r="E31" s="3" t="n"/>
      <c r="F31" s="3" t="n"/>
      <c r="G31" s="3" t="n"/>
      <c r="H31" s="3" t="n"/>
      <c r="I31" s="3" t="n"/>
      <c r="J31" s="6">
        <f>IF(COUNTA(D31:I31)&gt;0,SUM(D31:I31),IF(K31="", "", K31))</f>
        <v/>
      </c>
      <c r="K31" s="3" t="n">
        <v>2</v>
      </c>
      <c r="L31" s="3" t="n"/>
      <c r="M31" s="4" t="n"/>
      <c r="N31" s="3" t="n"/>
      <c r="O31" s="6">
        <f>IF(COUNTA(L31:N31)&gt;0,SUM(L31:N31),IF(P31="", "", P31))</f>
        <v/>
      </c>
      <c r="P31" s="3" t="n">
        <v>4</v>
      </c>
      <c r="Q31" s="3" t="n"/>
      <c r="R31" s="3" t="n">
        <v>20</v>
      </c>
      <c r="S31" s="6">
        <f>IF(OR(C31="",J31="",O31=""),"",C31+J31-O31)</f>
        <v/>
      </c>
      <c r="T31" s="3" t="n">
        <v>56</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DATE(2025,9,26)</f>
        <v/>
      </c>
      <c r="B32" s="6" t="n">
        <v>26</v>
      </c>
      <c r="C32" s="6">
        <f>Q31</f>
        <v/>
      </c>
      <c r="D32" s="3" t="n"/>
      <c r="E32" s="3" t="n"/>
      <c r="F32" s="3" t="n"/>
      <c r="G32" s="3" t="n"/>
      <c r="H32" s="3" t="n"/>
      <c r="I32" s="3" t="n"/>
      <c r="J32" s="6">
        <f>IF(COUNTA(D32:I32)&gt;0,SUM(D32:I32),IF(K32="", "", K32))</f>
        <v/>
      </c>
      <c r="K32" s="3" t="n">
        <v>5</v>
      </c>
      <c r="L32" s="3" t="n"/>
      <c r="M32" s="4" t="n"/>
      <c r="N32" s="3" t="n"/>
      <c r="O32" s="6">
        <f>IF(COUNTA(L32:N32)&gt;0,SUM(L32:N32),IF(P32="", "", P32))</f>
        <v/>
      </c>
      <c r="P32" s="3" t="n">
        <v>2</v>
      </c>
      <c r="Q32" s="3" t="n"/>
      <c r="R32" s="3" t="n">
        <v>20</v>
      </c>
      <c r="S32" s="6">
        <f>IF(OR(C32="",J32="",O32=""),"",C32+J32-O32)</f>
        <v/>
      </c>
      <c r="T32" s="3" t="n">
        <v>18</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DATE(2025,9,27)</f>
        <v/>
      </c>
      <c r="B33" s="6" t="n">
        <v>27</v>
      </c>
      <c r="C33" s="6">
        <f>Q32</f>
        <v/>
      </c>
      <c r="D33" s="3" t="n"/>
      <c r="E33" s="3" t="n"/>
      <c r="F33" s="3" t="n"/>
      <c r="G33" s="3" t="n"/>
      <c r="H33" s="3" t="n"/>
      <c r="I33" s="3" t="n"/>
      <c r="J33" s="6">
        <f>IF(COUNTA(D33:I33)&gt;0,SUM(D33:I33),IF(K33="", "", K33))</f>
        <v/>
      </c>
      <c r="K33" s="3" t="n">
        <v>3</v>
      </c>
      <c r="L33" s="3" t="n"/>
      <c r="M33" s="4" t="n"/>
      <c r="N33" s="3" t="n"/>
      <c r="O33" s="6">
        <f>IF(COUNTA(L33:N33)&gt;0,SUM(L33:N33),IF(P33="", "", P33))</f>
        <v/>
      </c>
      <c r="P33" s="3" t="n"/>
      <c r="Q33" s="3" t="n"/>
      <c r="R33" s="3" t="n">
        <v>20</v>
      </c>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DATE(2025,9,28)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v>20</v>
      </c>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DATE(2025,9,29)</f>
        <v/>
      </c>
      <c r="B35" s="6" t="n">
        <v>29</v>
      </c>
      <c r="C35" s="6">
        <f>Q34</f>
        <v/>
      </c>
      <c r="D35" s="3" t="n"/>
      <c r="E35" s="3" t="n"/>
      <c r="F35" s="3" t="n"/>
      <c r="G35" s="3" t="n"/>
      <c r="H35" s="3" t="n"/>
      <c r="I35" s="3" t="n"/>
      <c r="J35" s="6">
        <f>IF(COUNTA(D35:I35)&gt;0,SUM(D35:I35),IF(K35="", "", K35))</f>
        <v/>
      </c>
      <c r="K35" s="3" t="n">
        <v>3</v>
      </c>
      <c r="L35" s="3" t="n"/>
      <c r="M35" s="4" t="n"/>
      <c r="N35" s="3" t="n"/>
      <c r="O35" s="6">
        <f>IF(COUNTA(L35:N35)&gt;0,SUM(L35:N35),IF(P35="", "", P35))</f>
        <v/>
      </c>
      <c r="P35" s="3" t="n">
        <v>2</v>
      </c>
      <c r="Q35" s="3" t="n"/>
      <c r="R35" s="3" t="n">
        <v>20</v>
      </c>
      <c r="S35" s="6">
        <f>IF(OR(C35="",J35="",O35=""),"",C35+J35-O35)</f>
        <v/>
      </c>
      <c r="T35" s="3" t="n">
        <v>13</v>
      </c>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DATE(2025,9,30)</f>
        <v/>
      </c>
      <c r="B36" s="6" t="n">
        <v>30</v>
      </c>
      <c r="C36" s="6">
        <f>Q35</f>
        <v/>
      </c>
      <c r="D36" s="3" t="n"/>
      <c r="E36" s="3" t="n"/>
      <c r="F36" s="3" t="n"/>
      <c r="G36" s="3" t="n"/>
      <c r="H36" s="3" t="n"/>
      <c r="I36" s="3" t="n"/>
      <c r="J36" s="6">
        <f>IF(COUNTA(D36:I36)&gt;0,SUM(D36:I36),IF(K36="", "", K36))</f>
        <v/>
      </c>
      <c r="K36" s="3" t="n">
        <v>3</v>
      </c>
      <c r="L36" s="3" t="n"/>
      <c r="M36" s="4" t="n"/>
      <c r="N36" s="3" t="n"/>
      <c r="O36" s="6">
        <f>IF(COUNTA(L36:N36)&gt;0,SUM(L36:N36),IF(P36="", "", P36))</f>
        <v/>
      </c>
      <c r="P36" s="3" t="n">
        <v>3</v>
      </c>
      <c r="Q36" s="3" t="n"/>
      <c r="R36" s="3" t="n">
        <v>20</v>
      </c>
      <c r="S36" s="6">
        <f>IF(OR(C36="",J36="",O36=""),"",C36+J36-O36)</f>
        <v/>
      </c>
      <c r="T36" s="3" t="n">
        <v>21</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OCTUBRE 2025</t>
        </is>
      </c>
    </row>
    <row r="2">
      <c r="A2" s="2" t="inlineStr">
        <is>
          <t>Servicio</t>
        </is>
      </c>
      <c r="B2" s="6">
        <f>01_PARAMETROS!B3</f>
        <v/>
      </c>
      <c r="C2" s="2" t="inlineStr">
        <is>
          <t>Codigo</t>
        </is>
      </c>
      <c r="D2" s="6">
        <f>01_PARAMETROS!B4</f>
        <v/>
      </c>
      <c r="E2" s="2" t="inlineStr">
        <is>
          <t>Mes</t>
        </is>
      </c>
      <c r="F2" s="3" t="inlineStr">
        <is>
          <t>OCTUBRE</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DATE(2025,10,1)</f>
        <v/>
      </c>
      <c r="B7" s="6" t="n">
        <v>1</v>
      </c>
      <c r="C7" s="3" t="n">
        <v>18</v>
      </c>
      <c r="D7" s="3" t="n"/>
      <c r="E7" s="3" t="n"/>
      <c r="F7" s="3" t="n"/>
      <c r="G7" s="3" t="n"/>
      <c r="H7" s="3" t="n"/>
      <c r="I7" s="3" t="n"/>
      <c r="J7" s="6">
        <f>IF(COUNTA(D7:I7)&gt;0,SUM(D7:I7),IF(K7="", "", K7))</f>
        <v/>
      </c>
      <c r="K7" s="3" t="n">
        <v>3</v>
      </c>
      <c r="L7" s="3" t="n"/>
      <c r="M7" s="4" t="n"/>
      <c r="N7" s="3" t="n"/>
      <c r="O7" s="6">
        <f>IF(COUNTA(L7:N7)&gt;0,SUM(L7:N7),IF(P7="", "", P7))</f>
        <v/>
      </c>
      <c r="P7" s="3" t="n">
        <v>3</v>
      </c>
      <c r="Q7" s="3" t="n"/>
      <c r="R7" s="3" t="n">
        <v>20</v>
      </c>
      <c r="S7" s="6">
        <f>IF(OR(C7="",J7="",O7=""),"",C7+J7-O7)</f>
        <v/>
      </c>
      <c r="T7" s="3" t="n">
        <v>67</v>
      </c>
      <c r="U7" s="3" t="n"/>
      <c r="V7" s="3" t="n"/>
      <c r="W7" s="6">
        <f>IF(Z7=1,"FALTAN DATOS",IF(S7&lt;0,"OCUPACION NEGATIVA",IF(X7=1,"SOBREOCUPACION",IF(Y7&lt;&gt;0,"BALANCE RARO","OK"))))</f>
        <v/>
      </c>
      <c r="X7" s="6">
        <f>IF(AND(R7&lt;&gt;"",S7&gt;R7),1,0)</f>
        <v/>
      </c>
      <c r="Y7" s="6">
        <f>IF(OR(C7="",J7="",O7="",S7=""),"",C7+J7-O7-S7)</f>
        <v/>
      </c>
      <c r="Z7" s="6">
        <f>IF(OR(R7="",A7="",B7="",C7="",J7="",O7=""),1,0)</f>
        <v/>
      </c>
    </row>
    <row r="8">
      <c r="A8" s="6">
        <f>DATE(2025,10,2)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v>20</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DATE(2025,10,3)</f>
        <v/>
      </c>
      <c r="B9" s="6" t="n">
        <v>3</v>
      </c>
      <c r="C9" s="6">
        <f>Q8</f>
        <v/>
      </c>
      <c r="D9" s="3" t="n"/>
      <c r="E9" s="3" t="n"/>
      <c r="F9" s="3" t="n"/>
      <c r="G9" s="3" t="n"/>
      <c r="H9" s="3" t="n"/>
      <c r="I9" s="3" t="n"/>
      <c r="J9" s="6">
        <f>IF(COUNTA(D9:I9)&gt;0,SUM(D9:I9),IF(K9="", "", K9))</f>
        <v/>
      </c>
      <c r="K9" s="3" t="n">
        <v>2</v>
      </c>
      <c r="L9" s="3" t="n"/>
      <c r="M9" s="4" t="n"/>
      <c r="N9" s="3" t="n"/>
      <c r="O9" s="6">
        <f>IF(COUNTA(L9:N9)&gt;0,SUM(L9:N9),IF(P9="", "", P9))</f>
        <v/>
      </c>
      <c r="P9" s="3" t="n">
        <v>5</v>
      </c>
      <c r="Q9" s="3" t="n"/>
      <c r="R9" s="3" t="n">
        <v>20</v>
      </c>
      <c r="S9" s="6">
        <f>IF(OR(C9="",J9="",O9=""),"",C9+J9-O9)</f>
        <v/>
      </c>
      <c r="T9" s="3" t="n">
        <v>32</v>
      </c>
      <c r="U9" s="3" t="n"/>
      <c r="V9" s="3" t="n"/>
      <c r="W9" s="6">
        <f>IF(Z9=1,"FALTAN DATOS",IF(S9&lt;0,"OCUPACION NEGATIVA",IF(X9=1,"SOBREOCUPACION",IF(Y9&lt;&gt;0,"BALANCE RARO","OK"))))</f>
        <v/>
      </c>
      <c r="X9" s="6">
        <f>IF(AND(R9&lt;&gt;"",S9&gt;R9),1,0)</f>
        <v/>
      </c>
      <c r="Y9" s="6">
        <f>IF(OR(C9="",J9="",O9="",S9=""),"",C9+J9-O9-S9)</f>
        <v/>
      </c>
      <c r="Z9" s="6">
        <f>IF(OR(R9="",A9="",B9="",C9="",J9="",O9=""),1,0)</f>
        <v/>
      </c>
    </row>
    <row r="10">
      <c r="A10" s="6">
        <f>DATE(2025,10,4)</f>
        <v/>
      </c>
      <c r="B10" s="6" t="n">
        <v>4</v>
      </c>
      <c r="C10" s="6">
        <f>Q9</f>
        <v/>
      </c>
      <c r="D10" s="3" t="n"/>
      <c r="E10" s="3" t="n"/>
      <c r="F10" s="3" t="n"/>
      <c r="G10" s="3" t="n"/>
      <c r="H10" s="3" t="n"/>
      <c r="I10" s="3" t="n"/>
      <c r="J10" s="6">
        <f>IF(COUNTA(D10:I10)&gt;0,SUM(D10:I10),IF(K10="", "", K10))</f>
        <v/>
      </c>
      <c r="K10" s="3" t="n">
        <v>2</v>
      </c>
      <c r="L10" s="3" t="n"/>
      <c r="M10" s="4" t="n"/>
      <c r="N10" s="3" t="n"/>
      <c r="O10" s="6">
        <f>IF(COUNTA(L10:N10)&gt;0,SUM(L10:N10),IF(P10="", "", P10))</f>
        <v/>
      </c>
      <c r="P10" s="3" t="n">
        <v>1</v>
      </c>
      <c r="Q10" s="3" t="n"/>
      <c r="R10" s="3" t="n">
        <v>20</v>
      </c>
      <c r="S10" s="6">
        <f>IF(OR(C10="",J10="",O10=""),"",C10+J10-O10)</f>
        <v/>
      </c>
      <c r="T10" s="3" t="n">
        <v>5</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DATE(2025,10,5)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v>20</v>
      </c>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DATE(2025,10,6)</f>
        <v/>
      </c>
      <c r="B12" s="6" t="n">
        <v>6</v>
      </c>
      <c r="C12" s="6">
        <f>Q11</f>
        <v/>
      </c>
      <c r="D12" s="3" t="n"/>
      <c r="E12" s="3" t="n"/>
      <c r="F12" s="3" t="n"/>
      <c r="G12" s="3" t="n"/>
      <c r="H12" s="3" t="n"/>
      <c r="I12" s="3" t="n"/>
      <c r="J12" s="6">
        <f>IF(COUNTA(D12:I12)&gt;0,SUM(D12:I12),IF(K12="", "", K12))</f>
        <v/>
      </c>
      <c r="K12" s="3" t="n">
        <v>1</v>
      </c>
      <c r="L12" s="3" t="n"/>
      <c r="M12" s="4" t="n"/>
      <c r="N12" s="3" t="n"/>
      <c r="O12" s="6">
        <f>IF(COUNTA(L12:N12)&gt;0,SUM(L12:N12),IF(P12="", "", P12))</f>
        <v/>
      </c>
      <c r="P12" s="3" t="n">
        <v>8</v>
      </c>
      <c r="Q12" s="3" t="n"/>
      <c r="R12" s="3" t="n">
        <v>20</v>
      </c>
      <c r="S12" s="6">
        <f>IF(OR(C12="",J12="",O12=""),"",C12+J12-O12)</f>
        <v/>
      </c>
      <c r="T12" s="3" t="n">
        <v>69</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DATE(2025,10,7)</f>
        <v/>
      </c>
      <c r="B13" s="6" t="n">
        <v>7</v>
      </c>
      <c r="C13" s="6">
        <f>Q12</f>
        <v/>
      </c>
      <c r="D13" s="3" t="n"/>
      <c r="E13" s="3" t="n"/>
      <c r="F13" s="3" t="n"/>
      <c r="G13" s="3" t="n"/>
      <c r="H13" s="3" t="n"/>
      <c r="I13" s="3" t="n"/>
      <c r="J13" s="6">
        <f>IF(COUNTA(D13:I13)&gt;0,SUM(D13:I13),IF(K13="", "", K13))</f>
        <v/>
      </c>
      <c r="K13" s="3" t="n">
        <v>4</v>
      </c>
      <c r="L13" s="3" t="n"/>
      <c r="M13" s="4" t="n"/>
      <c r="N13" s="3" t="n"/>
      <c r="O13" s="6">
        <f>IF(COUNTA(L13:N13)&gt;0,SUM(L13:N13),IF(P13="", "", P13))</f>
        <v/>
      </c>
      <c r="P13" s="3" t="n"/>
      <c r="Q13" s="3" t="n"/>
      <c r="R13" s="3" t="n">
        <v>20</v>
      </c>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DATE(2025,10,8)</f>
        <v/>
      </c>
      <c r="B14" s="6" t="n">
        <v>8</v>
      </c>
      <c r="C14" s="6">
        <f>Q13</f>
        <v/>
      </c>
      <c r="D14" s="3" t="n"/>
      <c r="E14" s="3" t="n"/>
      <c r="F14" s="3" t="n"/>
      <c r="G14" s="3" t="n"/>
      <c r="H14" s="3" t="n"/>
      <c r="I14" s="3" t="n"/>
      <c r="J14" s="6">
        <f>IF(COUNTA(D14:I14)&gt;0,SUM(D14:I14),IF(K14="", "", K14))</f>
        <v/>
      </c>
      <c r="K14" s="3" t="n">
        <v>3</v>
      </c>
      <c r="L14" s="3" t="n"/>
      <c r="M14" s="4" t="n"/>
      <c r="N14" s="3" t="n"/>
      <c r="O14" s="6">
        <f>IF(COUNTA(L14:N14)&gt;0,SUM(L14:N14),IF(P14="", "", P14))</f>
        <v/>
      </c>
      <c r="P14" s="3" t="n">
        <v>2</v>
      </c>
      <c r="Q14" s="3" t="n"/>
      <c r="R14" s="3" t="n">
        <v>20</v>
      </c>
      <c r="S14" s="6">
        <f>IF(OR(C14="",J14="",O14=""),"",C14+J14-O14)</f>
        <v/>
      </c>
      <c r="T14" s="3" t="n">
        <v>16</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DATE(2025,10,9)</f>
        <v/>
      </c>
      <c r="B15" s="6" t="n">
        <v>9</v>
      </c>
      <c r="C15" s="6">
        <f>Q14</f>
        <v/>
      </c>
      <c r="D15" s="3" t="n"/>
      <c r="E15" s="3" t="n"/>
      <c r="F15" s="3" t="n"/>
      <c r="G15" s="3" t="n"/>
      <c r="H15" s="3" t="n"/>
      <c r="I15" s="3" t="n"/>
      <c r="J15" s="6">
        <f>IF(COUNTA(D15:I15)&gt;0,SUM(D15:I15),IF(K15="", "", K15))</f>
        <v/>
      </c>
      <c r="K15" s="3" t="n">
        <v>1</v>
      </c>
      <c r="L15" s="3" t="n"/>
      <c r="M15" s="4" t="n"/>
      <c r="N15" s="3" t="n"/>
      <c r="O15" s="6">
        <f>IF(COUNTA(L15:N15)&gt;0,SUM(L15:N15),IF(P15="", "", P15))</f>
        <v/>
      </c>
      <c r="P15" s="3" t="n">
        <v>3</v>
      </c>
      <c r="Q15" s="3" t="n"/>
      <c r="R15" s="3" t="n">
        <v>20</v>
      </c>
      <c r="S15" s="6">
        <f>IF(OR(C15="",J15="",O15=""),"",C15+J15-O15)</f>
        <v/>
      </c>
      <c r="T15" s="3" t="n">
        <v>29</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DATE(2025,10,10)</f>
        <v/>
      </c>
      <c r="B16" s="6" t="n">
        <v>10</v>
      </c>
      <c r="C16" s="6">
        <f>Q15</f>
        <v/>
      </c>
      <c r="D16" s="3" t="n"/>
      <c r="E16" s="3" t="n"/>
      <c r="F16" s="3" t="n"/>
      <c r="G16" s="3" t="n"/>
      <c r="H16" s="3" t="n"/>
      <c r="I16" s="3" t="n"/>
      <c r="J16" s="6">
        <f>IF(COUNTA(D16:I16)&gt;0,SUM(D16:I16),IF(K16="", "", K16))</f>
        <v/>
      </c>
      <c r="K16" s="3" t="n">
        <v>2</v>
      </c>
      <c r="L16" s="3" t="n"/>
      <c r="M16" s="4" t="n"/>
      <c r="N16" s="3" t="n"/>
      <c r="O16" s="6">
        <f>IF(COUNTA(L16:N16)&gt;0,SUM(L16:N16),IF(P16="", "", P16))</f>
        <v/>
      </c>
      <c r="P16" s="3" t="n">
        <v>3</v>
      </c>
      <c r="Q16" s="3" t="n"/>
      <c r="R16" s="3" t="n">
        <v>20</v>
      </c>
      <c r="S16" s="6">
        <f>IF(OR(C16="",J16="",O16=""),"",C16+J16-O16)</f>
        <v/>
      </c>
      <c r="T16" s="3" t="n">
        <v>12</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DATE(2025,10,11)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v>1</v>
      </c>
      <c r="Q17" s="3" t="n"/>
      <c r="R17" s="3" t="n">
        <v>20</v>
      </c>
      <c r="S17" s="6">
        <f>IF(OR(C17="",J17="",O17=""),"",C17+J17-O17)</f>
        <v/>
      </c>
      <c r="T17" s="3" t="n">
        <v>3</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DATE(2025,10,12)</f>
        <v/>
      </c>
      <c r="B18" s="6" t="n">
        <v>12</v>
      </c>
      <c r="C18" s="6">
        <f>Q17</f>
        <v/>
      </c>
      <c r="D18" s="3" t="n"/>
      <c r="E18" s="3" t="n"/>
      <c r="F18" s="3" t="n"/>
      <c r="G18" s="3" t="n"/>
      <c r="H18" s="3" t="n"/>
      <c r="I18" s="3" t="n"/>
      <c r="J18" s="6">
        <f>IF(COUNTA(D18:I18)&gt;0,SUM(D18:I18),IF(K18="", "", K18))</f>
        <v/>
      </c>
      <c r="K18" s="3" t="n">
        <v>1</v>
      </c>
      <c r="L18" s="3" t="n"/>
      <c r="M18" s="4" t="n"/>
      <c r="N18" s="3" t="n"/>
      <c r="O18" s="6">
        <f>IF(COUNTA(L18:N18)&gt;0,SUM(L18:N18),IF(P18="", "", P18))</f>
        <v/>
      </c>
      <c r="P18" s="3" t="n"/>
      <c r="Q18" s="3" t="n"/>
      <c r="R18" s="3" t="n">
        <v>20</v>
      </c>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DATE(2025,10,13)</f>
        <v/>
      </c>
      <c r="B19" s="6" t="n">
        <v>13</v>
      </c>
      <c r="C19" s="6">
        <f>Q18</f>
        <v/>
      </c>
      <c r="D19" s="3" t="n"/>
      <c r="E19" s="3" t="n"/>
      <c r="F19" s="3" t="n"/>
      <c r="G19" s="3" t="n"/>
      <c r="H19" s="3" t="n"/>
      <c r="I19" s="3" t="n"/>
      <c r="J19" s="6">
        <f>IF(COUNTA(D19:I19)&gt;0,SUM(D19:I19),IF(K19="", "", K19))</f>
        <v/>
      </c>
      <c r="K19" s="3" t="n">
        <v>3</v>
      </c>
      <c r="L19" s="3" t="n"/>
      <c r="M19" s="4" t="n"/>
      <c r="N19" s="3" t="n"/>
      <c r="O19" s="6">
        <f>IF(COUNTA(L19:N19)&gt;0,SUM(L19:N19),IF(P19="", "", P19))</f>
        <v/>
      </c>
      <c r="P19" s="3" t="n">
        <v>3</v>
      </c>
      <c r="Q19" s="3" t="n"/>
      <c r="R19" s="3" t="n">
        <v>20</v>
      </c>
      <c r="S19" s="6">
        <f>IF(OR(C19="",J19="",O19=""),"",C19+J19-O19)</f>
        <v/>
      </c>
      <c r="T19" s="3" t="n">
        <v>24</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DATE(2025,10,14)</f>
        <v/>
      </c>
      <c r="B20" s="6" t="n">
        <v>14</v>
      </c>
      <c r="C20" s="6">
        <f>Q19</f>
        <v/>
      </c>
      <c r="D20" s="3" t="n"/>
      <c r="E20" s="3" t="n"/>
      <c r="F20" s="3" t="n"/>
      <c r="G20" s="3" t="n"/>
      <c r="H20" s="3" t="n"/>
      <c r="I20" s="3" t="n"/>
      <c r="J20" s="6">
        <f>IF(COUNTA(D20:I20)&gt;0,SUM(D20:I20),IF(K20="", "", K20))</f>
        <v/>
      </c>
      <c r="K20" s="3" t="n">
        <v>6</v>
      </c>
      <c r="L20" s="3" t="n"/>
      <c r="M20" s="4" t="n"/>
      <c r="N20" s="3" t="n"/>
      <c r="O20" s="6">
        <f>IF(COUNTA(L20:N20)&gt;0,SUM(L20:N20),IF(P20="", "", P20))</f>
        <v/>
      </c>
      <c r="P20" s="3" t="n">
        <v>3</v>
      </c>
      <c r="Q20" s="3" t="n"/>
      <c r="R20" s="3" t="n">
        <v>20</v>
      </c>
      <c r="S20" s="6">
        <f>IF(OR(C20="",J20="",O20=""),"",C20+J20-O20)</f>
        <v/>
      </c>
      <c r="T20" s="3" t="n">
        <v>24</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DATE(2025,10,15)</f>
        <v/>
      </c>
      <c r="B21" s="6" t="n">
        <v>15</v>
      </c>
      <c r="C21" s="6">
        <f>Q20</f>
        <v/>
      </c>
      <c r="D21" s="3" t="n"/>
      <c r="E21" s="3" t="n"/>
      <c r="F21" s="3" t="n"/>
      <c r="G21" s="3" t="n"/>
      <c r="H21" s="3" t="n"/>
      <c r="I21" s="3" t="n"/>
      <c r="J21" s="6">
        <f>IF(COUNTA(D21:I21)&gt;0,SUM(D21:I21),IF(K21="", "", K21))</f>
        <v/>
      </c>
      <c r="K21" s="3" t="n">
        <v>1</v>
      </c>
      <c r="L21" s="3" t="n"/>
      <c r="M21" s="4" t="n"/>
      <c r="N21" s="3" t="n"/>
      <c r="O21" s="6">
        <f>IF(COUNTA(L21:N21)&gt;0,SUM(L21:N21),IF(P21="", "", P21))</f>
        <v/>
      </c>
      <c r="P21" s="3" t="n"/>
      <c r="Q21" s="3" t="n"/>
      <c r="R21" s="3" t="n">
        <v>20</v>
      </c>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DATE(2025,10,16)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v>3</v>
      </c>
      <c r="Q22" s="3" t="n"/>
      <c r="R22" s="3" t="n">
        <v>20</v>
      </c>
      <c r="S22" s="6">
        <f>IF(OR(C22="",J22="",O22=""),"",C22+J22-O22)</f>
        <v/>
      </c>
      <c r="T22" s="3" t="n">
        <v>11</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DATE(2025,10,17)</f>
        <v/>
      </c>
      <c r="B23" s="6" t="n">
        <v>17</v>
      </c>
      <c r="C23" s="6">
        <f>Q22</f>
        <v/>
      </c>
      <c r="D23" s="3" t="n"/>
      <c r="E23" s="3" t="n"/>
      <c r="F23" s="3" t="n"/>
      <c r="G23" s="3" t="n"/>
      <c r="H23" s="3" t="n"/>
      <c r="I23" s="3" t="n"/>
      <c r="J23" s="6">
        <f>IF(COUNTA(D23:I23)&gt;0,SUM(D23:I23),IF(K23="", "", K23))</f>
        <v/>
      </c>
      <c r="K23" s="3" t="n">
        <v>4</v>
      </c>
      <c r="L23" s="3" t="n"/>
      <c r="M23" s="4" t="n"/>
      <c r="N23" s="3" t="n"/>
      <c r="O23" s="6">
        <f>IF(COUNTA(L23:N23)&gt;0,SUM(L23:N23),IF(P23="", "", P23))</f>
        <v/>
      </c>
      <c r="P23" s="3" t="n">
        <v>2</v>
      </c>
      <c r="Q23" s="3" t="n"/>
      <c r="R23" s="3" t="n">
        <v>20</v>
      </c>
      <c r="S23" s="6">
        <f>IF(OR(C23="",J23="",O23=""),"",C23+J23-O23)</f>
        <v/>
      </c>
      <c r="T23" s="3" t="n">
        <v>7</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DATE(2025,10,18)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v>2</v>
      </c>
      <c r="Q24" s="3" t="n"/>
      <c r="R24" s="3" t="n">
        <v>20</v>
      </c>
      <c r="S24" s="6">
        <f>IF(OR(C24="",J24="",O24=""),"",C24+J24-O24)</f>
        <v/>
      </c>
      <c r="T24" s="3" t="n">
        <v>17</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DATE(2025,10,19)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v>20</v>
      </c>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DATE(2025,10,20)</f>
        <v/>
      </c>
      <c r="B26" s="6" t="n">
        <v>20</v>
      </c>
      <c r="C26" s="6">
        <f>Q25</f>
        <v/>
      </c>
      <c r="D26" s="3" t="n"/>
      <c r="E26" s="3" t="n"/>
      <c r="F26" s="3" t="n"/>
      <c r="G26" s="3" t="n"/>
      <c r="H26" s="3" t="n"/>
      <c r="I26" s="3" t="n"/>
      <c r="J26" s="6">
        <f>IF(COUNTA(D26:I26)&gt;0,SUM(D26:I26),IF(K26="", "", K26))</f>
        <v/>
      </c>
      <c r="K26" s="3" t="n">
        <v>1</v>
      </c>
      <c r="L26" s="3" t="n"/>
      <c r="M26" s="4" t="n"/>
      <c r="N26" s="3" t="n"/>
      <c r="O26" s="6">
        <f>IF(COUNTA(L26:N26)&gt;0,SUM(L26:N26),IF(P26="", "", P26))</f>
        <v/>
      </c>
      <c r="P26" s="3" t="n">
        <v>1</v>
      </c>
      <c r="Q26" s="3" t="n"/>
      <c r="R26" s="3" t="n">
        <v>20</v>
      </c>
      <c r="S26" s="6">
        <f>IF(OR(C26="",J26="",O26=""),"",C26+J26-O26)</f>
        <v/>
      </c>
      <c r="T26" s="3" t="n">
        <v>6</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DATE(2025,10,21)</f>
        <v/>
      </c>
      <c r="B27" s="6" t="n">
        <v>21</v>
      </c>
      <c r="C27" s="6">
        <f>Q26</f>
        <v/>
      </c>
      <c r="D27" s="3" t="n"/>
      <c r="E27" s="3" t="n"/>
      <c r="F27" s="3" t="n"/>
      <c r="G27" s="3" t="n"/>
      <c r="H27" s="3" t="n"/>
      <c r="I27" s="3" t="n"/>
      <c r="J27" s="6">
        <f>IF(COUNTA(D27:I27)&gt;0,SUM(D27:I27),IF(K27="", "", K27))</f>
        <v/>
      </c>
      <c r="K27" s="3" t="n">
        <v>6</v>
      </c>
      <c r="L27" s="3" t="n"/>
      <c r="M27" s="4" t="n"/>
      <c r="N27" s="3" t="n"/>
      <c r="O27" s="6">
        <f>IF(COUNTA(L27:N27)&gt;0,SUM(L27:N27),IF(P27="", "", P27))</f>
        <v/>
      </c>
      <c r="P27" s="3" t="n"/>
      <c r="Q27" s="3" t="n"/>
      <c r="R27" s="3" t="n">
        <v>20</v>
      </c>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DATE(2025,10,22)</f>
        <v/>
      </c>
      <c r="B28" s="6" t="n">
        <v>22</v>
      </c>
      <c r="C28" s="6">
        <f>Q27</f>
        <v/>
      </c>
      <c r="D28" s="3" t="n"/>
      <c r="E28" s="3" t="n"/>
      <c r="F28" s="3" t="n"/>
      <c r="G28" s="3" t="n"/>
      <c r="H28" s="3" t="n"/>
      <c r="I28" s="3" t="n"/>
      <c r="J28" s="6">
        <f>IF(COUNTA(D28:I28)&gt;0,SUM(D28:I28),IF(K28="", "", K28))</f>
        <v/>
      </c>
      <c r="K28" s="3" t="n">
        <v>3</v>
      </c>
      <c r="L28" s="3" t="n"/>
      <c r="M28" s="4" t="n"/>
      <c r="N28" s="3" t="n"/>
      <c r="O28" s="6">
        <f>IF(COUNTA(L28:N28)&gt;0,SUM(L28:N28),IF(P28="", "", P28))</f>
        <v/>
      </c>
      <c r="P28" s="3" t="n"/>
      <c r="Q28" s="3" t="n"/>
      <c r="R28" s="3" t="n">
        <v>20</v>
      </c>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DATE(2025,10,23)</f>
        <v/>
      </c>
      <c r="B29" s="6" t="n">
        <v>23</v>
      </c>
      <c r="C29" s="6">
        <f>Q28</f>
        <v/>
      </c>
      <c r="D29" s="3" t="n"/>
      <c r="E29" s="3" t="n"/>
      <c r="F29" s="3" t="n"/>
      <c r="G29" s="3" t="n"/>
      <c r="H29" s="3" t="n"/>
      <c r="I29" s="3" t="n"/>
      <c r="J29" s="6">
        <f>IF(COUNTA(D29:I29)&gt;0,SUM(D29:I29),IF(K29="", "", K29))</f>
        <v/>
      </c>
      <c r="K29" s="3" t="n">
        <v>1</v>
      </c>
      <c r="L29" s="3" t="n"/>
      <c r="M29" s="4" t="n"/>
      <c r="N29" s="3" t="n"/>
      <c r="O29" s="6">
        <f>IF(COUNTA(L29:N29)&gt;0,SUM(L29:N29),IF(P29="", "", P29))</f>
        <v/>
      </c>
      <c r="P29" s="3" t="n">
        <v>1</v>
      </c>
      <c r="Q29" s="3" t="n"/>
      <c r="R29" s="3" t="n">
        <v>20</v>
      </c>
      <c r="S29" s="6">
        <f>IF(OR(C29="",J29="",O29=""),"",C29+J29-O29)</f>
        <v/>
      </c>
      <c r="T29" s="3" t="n">
        <v>3</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DATE(2025,10,24)</f>
        <v/>
      </c>
      <c r="B30" s="6" t="n">
        <v>24</v>
      </c>
      <c r="C30" s="6">
        <f>Q29</f>
        <v/>
      </c>
      <c r="D30" s="3" t="n"/>
      <c r="E30" s="3" t="n"/>
      <c r="F30" s="3" t="n"/>
      <c r="G30" s="3" t="n"/>
      <c r="H30" s="3" t="n"/>
      <c r="I30" s="3" t="n"/>
      <c r="J30" s="6">
        <f>IF(COUNTA(D30:I30)&gt;0,SUM(D30:I30),IF(K30="", "", K30))</f>
        <v/>
      </c>
      <c r="K30" s="3" t="n">
        <v>5</v>
      </c>
      <c r="L30" s="3" t="n"/>
      <c r="M30" s="4" t="n"/>
      <c r="N30" s="3" t="n"/>
      <c r="O30" s="6">
        <f>IF(COUNTA(L30:N30)&gt;0,SUM(L30:N30),IF(P30="", "", P30))</f>
        <v/>
      </c>
      <c r="P30" s="3" t="n">
        <v>8</v>
      </c>
      <c r="Q30" s="3" t="n"/>
      <c r="R30" s="3" t="n">
        <v>20</v>
      </c>
      <c r="S30" s="6">
        <f>IF(OR(C30="",J30="",O30=""),"",C30+J30-O30)</f>
        <v/>
      </c>
      <c r="T30" s="3" t="n">
        <v>80</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DATE(2025,10,25)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v>1</v>
      </c>
      <c r="Q31" s="3" t="n"/>
      <c r="R31" s="3" t="n">
        <v>20</v>
      </c>
      <c r="S31" s="6">
        <f>IF(OR(C31="",J31="",O31=""),"",C31+J31-O31)</f>
        <v/>
      </c>
      <c r="T31" s="3" t="n">
        <v>22</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DATE(2025,10,26)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v>1</v>
      </c>
      <c r="Q32" s="3" t="n"/>
      <c r="R32" s="3" t="n">
        <v>20</v>
      </c>
      <c r="S32" s="6">
        <f>IF(OR(C32="",J32="",O32=""),"",C32+J32-O32)</f>
        <v/>
      </c>
      <c r="T32" s="3" t="n">
        <v>12</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DATE(2025,10,27)</f>
        <v/>
      </c>
      <c r="B33" s="6" t="n">
        <v>27</v>
      </c>
      <c r="C33" s="6">
        <f>Q32</f>
        <v/>
      </c>
      <c r="D33" s="3" t="n"/>
      <c r="E33" s="3" t="n"/>
      <c r="F33" s="3" t="n"/>
      <c r="G33" s="3" t="n"/>
      <c r="H33" s="3" t="n"/>
      <c r="I33" s="3" t="n"/>
      <c r="J33" s="6">
        <f>IF(COUNTA(D33:I33)&gt;0,SUM(D33:I33),IF(K33="", "", K33))</f>
        <v/>
      </c>
      <c r="K33" s="3" t="n">
        <v>1</v>
      </c>
      <c r="L33" s="3" t="n"/>
      <c r="M33" s="4" t="n"/>
      <c r="N33" s="3" t="n"/>
      <c r="O33" s="6">
        <f>IF(COUNTA(L33:N33)&gt;0,SUM(L33:N33),IF(P33="", "", P33))</f>
        <v/>
      </c>
      <c r="P33" s="3" t="n">
        <v>4</v>
      </c>
      <c r="Q33" s="3" t="n"/>
      <c r="R33" s="3" t="n">
        <v>20</v>
      </c>
      <c r="S33" s="6">
        <f>IF(OR(C33="",J33="",O33=""),"",C33+J33-O33)</f>
        <v/>
      </c>
      <c r="T33" s="3" t="n">
        <v>34</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DATE(2025,10,28)</f>
        <v/>
      </c>
      <c r="B34" s="6" t="n">
        <v>28</v>
      </c>
      <c r="C34" s="6">
        <f>Q33</f>
        <v/>
      </c>
      <c r="D34" s="3" t="n"/>
      <c r="E34" s="3" t="n"/>
      <c r="F34" s="3" t="n"/>
      <c r="G34" s="3" t="n"/>
      <c r="H34" s="3" t="n"/>
      <c r="I34" s="3" t="n"/>
      <c r="J34" s="6">
        <f>IF(COUNTA(D34:I34)&gt;0,SUM(D34:I34),IF(K34="", "", K34))</f>
        <v/>
      </c>
      <c r="K34" s="3" t="n">
        <v>6</v>
      </c>
      <c r="L34" s="3" t="n"/>
      <c r="M34" s="4" t="n"/>
      <c r="N34" s="3" t="n"/>
      <c r="O34" s="6">
        <f>IF(COUNTA(L34:N34)&gt;0,SUM(L34:N34),IF(P34="", "", P34))</f>
        <v/>
      </c>
      <c r="P34" s="3" t="n">
        <v>2</v>
      </c>
      <c r="Q34" s="3" t="n"/>
      <c r="R34" s="3" t="n">
        <v>20</v>
      </c>
      <c r="S34" s="6">
        <f>IF(OR(C34="",J34="",O34=""),"",C34+J34-O34)</f>
        <v/>
      </c>
      <c r="T34" s="3" t="n">
        <v>15</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DATE(2025,10,29)</f>
        <v/>
      </c>
      <c r="B35" s="6" t="n">
        <v>29</v>
      </c>
      <c r="C35" s="6">
        <f>Q34</f>
        <v/>
      </c>
      <c r="D35" s="3" t="n"/>
      <c r="E35" s="3" t="n"/>
      <c r="F35" s="3" t="n"/>
      <c r="G35" s="3" t="n"/>
      <c r="H35" s="3" t="n"/>
      <c r="I35" s="3" t="n"/>
      <c r="J35" s="6">
        <f>IF(COUNTA(D35:I35)&gt;0,SUM(D35:I35),IF(K35="", "", K35))</f>
        <v/>
      </c>
      <c r="K35" s="3" t="n">
        <v>4</v>
      </c>
      <c r="L35" s="3" t="n"/>
      <c r="M35" s="4" t="n"/>
      <c r="N35" s="3" t="n"/>
      <c r="O35" s="6">
        <f>IF(COUNTA(L35:N35)&gt;0,SUM(L35:N35),IF(P35="", "", P35))</f>
        <v/>
      </c>
      <c r="P35" s="3" t="n">
        <v>2</v>
      </c>
      <c r="Q35" s="3" t="n"/>
      <c r="R35" s="3" t="n">
        <v>20</v>
      </c>
      <c r="S35" s="6">
        <f>IF(OR(C35="",J35="",O35=""),"",C35+J35-O35)</f>
        <v/>
      </c>
      <c r="T35" s="3" t="n">
        <v>16</v>
      </c>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DATE(2025,10,30)</f>
        <v/>
      </c>
      <c r="B36" s="6" t="n">
        <v>30</v>
      </c>
      <c r="C36" s="6">
        <f>Q35</f>
        <v/>
      </c>
      <c r="D36" s="3" t="n"/>
      <c r="E36" s="3" t="n"/>
      <c r="F36" s="3" t="n"/>
      <c r="G36" s="3" t="n"/>
      <c r="H36" s="3" t="n"/>
      <c r="I36" s="3" t="n"/>
      <c r="J36" s="6">
        <f>IF(COUNTA(D36:I36)&gt;0,SUM(D36:I36),IF(K36="", "", K36))</f>
        <v/>
      </c>
      <c r="K36" s="3" t="n">
        <v>2</v>
      </c>
      <c r="L36" s="3" t="n"/>
      <c r="M36" s="4" t="n"/>
      <c r="N36" s="3" t="n"/>
      <c r="O36" s="6">
        <f>IF(COUNTA(L36:N36)&gt;0,SUM(L36:N36),IF(P36="", "", P36))</f>
        <v/>
      </c>
      <c r="P36" s="3" t="n">
        <v>1</v>
      </c>
      <c r="Q36" s="3" t="n"/>
      <c r="R36" s="3" t="n">
        <v>20</v>
      </c>
      <c r="S36" s="6">
        <f>IF(OR(C36="",J36="",O36=""),"",C36+J36-O36)</f>
        <v/>
      </c>
      <c r="T36" s="3" t="n">
        <v>6</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DATE(2025,10,31)</f>
        <v/>
      </c>
      <c r="B37" s="6" t="n">
        <v>31</v>
      </c>
      <c r="C37" s="6">
        <f>Q36</f>
        <v/>
      </c>
      <c r="D37" s="3" t="n"/>
      <c r="E37" s="3" t="n"/>
      <c r="F37" s="3" t="n"/>
      <c r="G37" s="3" t="n"/>
      <c r="H37" s="3" t="n"/>
      <c r="I37" s="3" t="n"/>
      <c r="J37" s="6">
        <f>IF(COUNTA(D37:I37)&gt;0,SUM(D37:I37),IF(K37="", "", K37))</f>
        <v/>
      </c>
      <c r="K37" s="3" t="n">
        <v>2</v>
      </c>
      <c r="L37" s="3" t="n"/>
      <c r="M37" s="4" t="n"/>
      <c r="N37" s="3" t="n"/>
      <c r="O37" s="6">
        <f>IF(COUNTA(L37:N37)&gt;0,SUM(L37:N37),IF(P37="", "", P37))</f>
        <v/>
      </c>
      <c r="P37" s="3" t="n"/>
      <c r="Q37" s="3" t="n"/>
      <c r="R37" s="3" t="n">
        <v>20</v>
      </c>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NOVIEMBRE 2025</t>
        </is>
      </c>
    </row>
    <row r="2">
      <c r="A2" s="2" t="inlineStr">
        <is>
          <t>Servicio</t>
        </is>
      </c>
      <c r="B2" s="6">
        <f>01_PARAMETROS!B3</f>
        <v/>
      </c>
      <c r="C2" s="2" t="inlineStr">
        <is>
          <t>Codigo</t>
        </is>
      </c>
      <c r="D2" s="6">
        <f>01_PARAMETROS!B4</f>
        <v/>
      </c>
      <c r="E2" s="2" t="inlineStr">
        <is>
          <t>Mes</t>
        </is>
      </c>
      <c r="F2" s="3" t="inlineStr">
        <is>
          <t>NOVIEMBRE</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DATE(2025,11,1)</f>
        <v/>
      </c>
      <c r="B7" s="6" t="n">
        <v>1</v>
      </c>
      <c r="C7" s="3" t="n">
        <v>15</v>
      </c>
      <c r="D7" s="3" t="n"/>
      <c r="E7" s="3" t="n"/>
      <c r="F7" s="3" t="n"/>
      <c r="G7" s="3" t="n"/>
      <c r="H7" s="3" t="n"/>
      <c r="I7" s="3" t="n"/>
      <c r="J7" s="6">
        <f>IF(COUNTA(D7:I7)&gt;0,SUM(D7:I7),IF(K7="", "", K7))</f>
        <v/>
      </c>
      <c r="K7" s="3" t="n"/>
      <c r="L7" s="3" t="n"/>
      <c r="M7" s="4" t="n"/>
      <c r="N7" s="3" t="n"/>
      <c r="O7" s="6">
        <f>IF(COUNTA(L7:N7)&gt;0,SUM(L7:N7),IF(P7="", "", P7))</f>
        <v/>
      </c>
      <c r="P7" s="3" t="n"/>
      <c r="Q7" s="3" t="n"/>
      <c r="R7" s="3" t="n">
        <v>20</v>
      </c>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DATE(2025,11,2)</f>
        <v/>
      </c>
      <c r="B8" s="6" t="n">
        <v>2</v>
      </c>
      <c r="C8" s="6">
        <f>Q7</f>
        <v/>
      </c>
      <c r="D8" s="3" t="n"/>
      <c r="E8" s="3" t="n"/>
      <c r="F8" s="3" t="n"/>
      <c r="G8" s="3" t="n"/>
      <c r="H8" s="3" t="n"/>
      <c r="I8" s="3" t="n"/>
      <c r="J8" s="6">
        <f>IF(COUNTA(D8:I8)&gt;0,SUM(D8:I8),IF(K8="", "", K8))</f>
        <v/>
      </c>
      <c r="K8" s="3" t="n">
        <v>1</v>
      </c>
      <c r="L8" s="3" t="n"/>
      <c r="M8" s="4" t="n"/>
      <c r="N8" s="3" t="n"/>
      <c r="O8" s="6">
        <f>IF(COUNTA(L8:N8)&gt;0,SUM(L8:N8),IF(P8="", "", P8))</f>
        <v/>
      </c>
      <c r="P8" s="3" t="n"/>
      <c r="Q8" s="3" t="n"/>
      <c r="R8" s="3" t="n">
        <v>20</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DATE(2025,11,3)</f>
        <v/>
      </c>
      <c r="B9" s="6" t="n">
        <v>3</v>
      </c>
      <c r="C9" s="6">
        <f>Q8</f>
        <v/>
      </c>
      <c r="D9" s="3" t="n"/>
      <c r="E9" s="3" t="n"/>
      <c r="F9" s="3" t="n"/>
      <c r="G9" s="3" t="n"/>
      <c r="H9" s="3" t="n"/>
      <c r="I9" s="3" t="n"/>
      <c r="J9" s="6">
        <f>IF(COUNTA(D9:I9)&gt;0,SUM(D9:I9),IF(K9="", "", K9))</f>
        <v/>
      </c>
      <c r="K9" s="3" t="n">
        <v>2</v>
      </c>
      <c r="L9" s="3" t="n"/>
      <c r="M9" s="4" t="n"/>
      <c r="N9" s="3" t="n"/>
      <c r="O9" s="6">
        <f>IF(COUNTA(L9:N9)&gt;0,SUM(L9:N9),IF(P9="", "", P9))</f>
        <v/>
      </c>
      <c r="P9" s="3" t="n">
        <v>1</v>
      </c>
      <c r="Q9" s="3" t="n"/>
      <c r="R9" s="3" t="n">
        <v>20</v>
      </c>
      <c r="S9" s="6">
        <f>IF(OR(C9="",J9="",O9=""),"",C9+J9-O9)</f>
        <v/>
      </c>
      <c r="T9" s="3" t="n">
        <v>10</v>
      </c>
      <c r="U9" s="3" t="n"/>
      <c r="V9" s="3" t="n"/>
      <c r="W9" s="6">
        <f>IF(Z9=1,"FALTAN DATOS",IF(S9&lt;0,"OCUPACION NEGATIVA",IF(X9=1,"SOBREOCUPACION",IF(Y9&lt;&gt;0,"BALANCE RARO","OK"))))</f>
        <v/>
      </c>
      <c r="X9" s="6">
        <f>IF(AND(R9&lt;&gt;"",S9&gt;R9),1,0)</f>
        <v/>
      </c>
      <c r="Y9" s="6">
        <f>IF(OR(C9="",J9="",O9="",S9=""),"",C9+J9-O9-S9)</f>
        <v/>
      </c>
      <c r="Z9" s="6">
        <f>IF(OR(R9="",A9="",B9="",C9="",J9="",O9=""),1,0)</f>
        <v/>
      </c>
    </row>
    <row r="10">
      <c r="A10" s="6">
        <f>DATE(2025,11,4)</f>
        <v/>
      </c>
      <c r="B10" s="6" t="n">
        <v>4</v>
      </c>
      <c r="C10" s="6">
        <f>Q9</f>
        <v/>
      </c>
      <c r="D10" s="3" t="n"/>
      <c r="E10" s="3" t="n"/>
      <c r="F10" s="3" t="n"/>
      <c r="G10" s="3" t="n"/>
      <c r="H10" s="3" t="n"/>
      <c r="I10" s="3" t="n"/>
      <c r="J10" s="6">
        <f>IF(COUNTA(D10:I10)&gt;0,SUM(D10:I10),IF(K10="", "", K10))</f>
        <v/>
      </c>
      <c r="K10" s="3" t="n">
        <v>3</v>
      </c>
      <c r="L10" s="3" t="n"/>
      <c r="M10" s="4" t="n"/>
      <c r="N10" s="3" t="n"/>
      <c r="O10" s="6">
        <f>IF(COUNTA(L10:N10)&gt;0,SUM(L10:N10),IF(P10="", "", P10))</f>
        <v/>
      </c>
      <c r="P10" s="3" t="n">
        <v>1</v>
      </c>
      <c r="Q10" s="3" t="n"/>
      <c r="R10" s="3" t="n">
        <v>20</v>
      </c>
      <c r="S10" s="6">
        <f>IF(OR(C10="",J10="",O10=""),"",C10+J10-O10)</f>
        <v/>
      </c>
      <c r="T10" s="3" t="n">
        <v>13</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DATE(2025,11,5)</f>
        <v/>
      </c>
      <c r="B11" s="6" t="n">
        <v>5</v>
      </c>
      <c r="C11" s="6">
        <f>Q10</f>
        <v/>
      </c>
      <c r="D11" s="3" t="n"/>
      <c r="E11" s="3" t="n"/>
      <c r="F11" s="3" t="n"/>
      <c r="G11" s="3" t="n"/>
      <c r="H11" s="3" t="n"/>
      <c r="I11" s="3" t="n"/>
      <c r="J11" s="6">
        <f>IF(COUNTA(D11:I11)&gt;0,SUM(D11:I11),IF(K11="", "", K11))</f>
        <v/>
      </c>
      <c r="K11" s="3" t="n">
        <v>1</v>
      </c>
      <c r="L11" s="3" t="n"/>
      <c r="M11" s="4" t="n"/>
      <c r="N11" s="3" t="n"/>
      <c r="O11" s="6">
        <f>IF(COUNTA(L11:N11)&gt;0,SUM(L11:N11),IF(P11="", "", P11))</f>
        <v/>
      </c>
      <c r="P11" s="3" t="n">
        <v>7</v>
      </c>
      <c r="Q11" s="3" t="n"/>
      <c r="R11" s="3" t="n">
        <v>20</v>
      </c>
      <c r="S11" s="6">
        <f>IF(OR(C11="",J11="",O11=""),"",C11+J11-O11)</f>
        <v/>
      </c>
      <c r="T11" s="3" t="n">
        <v>67</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DATE(2025,11,6)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v>1</v>
      </c>
      <c r="Q12" s="3" t="n"/>
      <c r="R12" s="3" t="n">
        <v>20</v>
      </c>
      <c r="S12" s="6">
        <f>IF(OR(C12="",J12="",O12=""),"",C12+J12-O12)</f>
        <v/>
      </c>
      <c r="T12" s="3" t="n">
        <v>6</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DATE(2025,11,7)</f>
        <v/>
      </c>
      <c r="B13" s="6" t="n">
        <v>7</v>
      </c>
      <c r="C13" s="6">
        <f>Q12</f>
        <v/>
      </c>
      <c r="D13" s="3" t="n"/>
      <c r="E13" s="3" t="n"/>
      <c r="F13" s="3" t="n"/>
      <c r="G13" s="3" t="n"/>
      <c r="H13" s="3" t="n"/>
      <c r="I13" s="3" t="n"/>
      <c r="J13" s="6">
        <f>IF(COUNTA(D13:I13)&gt;0,SUM(D13:I13),IF(K13="", "", K13))</f>
        <v/>
      </c>
      <c r="K13" s="3" t="n">
        <v>6</v>
      </c>
      <c r="L13" s="3" t="n"/>
      <c r="M13" s="4" t="n"/>
      <c r="N13" s="3" t="n"/>
      <c r="O13" s="6">
        <f>IF(COUNTA(L13:N13)&gt;0,SUM(L13:N13),IF(P13="", "", P13))</f>
        <v/>
      </c>
      <c r="P13" s="3" t="n">
        <v>1</v>
      </c>
      <c r="Q13" s="3" t="n"/>
      <c r="R13" s="3" t="n">
        <v>20</v>
      </c>
      <c r="S13" s="6">
        <f>IF(OR(C13="",J13="",O13=""),"",C13+J13-O13)</f>
        <v/>
      </c>
      <c r="T13" s="3" t="n">
        <v>10</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DATE(2025,11,8)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v>3</v>
      </c>
      <c r="Q14" s="3" t="n"/>
      <c r="R14" s="3" t="n">
        <v>20</v>
      </c>
      <c r="S14" s="6">
        <f>IF(OR(C14="",J14="",O14=""),"",C14+J14-O14)</f>
        <v/>
      </c>
      <c r="T14" s="3" t="n">
        <v>25</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DATE(2025,11,9)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v>1</v>
      </c>
      <c r="Q15" s="3" t="n"/>
      <c r="R15" s="3" t="n">
        <v>20</v>
      </c>
      <c r="S15" s="6">
        <f>IF(OR(C15="",J15="",O15=""),"",C15+J15-O15)</f>
        <v/>
      </c>
      <c r="T15" s="3" t="n">
        <v>5</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DATE(2025,11,10)</f>
        <v/>
      </c>
      <c r="B16" s="6" t="n">
        <v>10</v>
      </c>
      <c r="C16" s="6">
        <f>Q15</f>
        <v/>
      </c>
      <c r="D16" s="3" t="n"/>
      <c r="E16" s="3" t="n"/>
      <c r="F16" s="3" t="n"/>
      <c r="G16" s="3" t="n"/>
      <c r="H16" s="3" t="n"/>
      <c r="I16" s="3" t="n"/>
      <c r="J16" s="6">
        <f>IF(COUNTA(D16:I16)&gt;0,SUM(D16:I16),IF(K16="", "", K16))</f>
        <v/>
      </c>
      <c r="K16" s="3" t="n">
        <v>3</v>
      </c>
      <c r="L16" s="3" t="n"/>
      <c r="M16" s="4" t="n"/>
      <c r="N16" s="3" t="n"/>
      <c r="O16" s="6">
        <f>IF(COUNTA(L16:N16)&gt;0,SUM(L16:N16),IF(P16="", "", P16))</f>
        <v/>
      </c>
      <c r="P16" s="3" t="n">
        <v>2</v>
      </c>
      <c r="Q16" s="3" t="n"/>
      <c r="R16" s="3" t="n">
        <v>20</v>
      </c>
      <c r="S16" s="6">
        <f>IF(OR(C16="",J16="",O16=""),"",C16+J16-O16)</f>
        <v/>
      </c>
      <c r="T16" s="3" t="n">
        <v>18</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DATE(2025,11,11)</f>
        <v/>
      </c>
      <c r="B17" s="6" t="n">
        <v>11</v>
      </c>
      <c r="C17" s="6">
        <f>Q16</f>
        <v/>
      </c>
      <c r="D17" s="3" t="n"/>
      <c r="E17" s="3" t="n"/>
      <c r="F17" s="3" t="n"/>
      <c r="G17" s="3" t="n"/>
      <c r="H17" s="3" t="n"/>
      <c r="I17" s="3" t="n"/>
      <c r="J17" s="6">
        <f>IF(COUNTA(D17:I17)&gt;0,SUM(D17:I17),IF(K17="", "", K17))</f>
        <v/>
      </c>
      <c r="K17" s="3" t="n">
        <v>2</v>
      </c>
      <c r="L17" s="3" t="n"/>
      <c r="M17" s="4" t="n"/>
      <c r="N17" s="3" t="n"/>
      <c r="O17" s="6">
        <f>IF(COUNTA(L17:N17)&gt;0,SUM(L17:N17),IF(P17="", "", P17))</f>
        <v/>
      </c>
      <c r="P17" s="3" t="n"/>
      <c r="Q17" s="3" t="n"/>
      <c r="R17" s="3" t="n">
        <v>20</v>
      </c>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DATE(2025,11,12)</f>
        <v/>
      </c>
      <c r="B18" s="6" t="n">
        <v>12</v>
      </c>
      <c r="C18" s="6">
        <f>Q17</f>
        <v/>
      </c>
      <c r="D18" s="3" t="n"/>
      <c r="E18" s="3" t="n"/>
      <c r="F18" s="3" t="n"/>
      <c r="G18" s="3" t="n"/>
      <c r="H18" s="3" t="n"/>
      <c r="I18" s="3" t="n"/>
      <c r="J18" s="6">
        <f>IF(COUNTA(D18:I18)&gt;0,SUM(D18:I18),IF(K18="", "", K18))</f>
        <v/>
      </c>
      <c r="K18" s="3" t="n">
        <v>5</v>
      </c>
      <c r="L18" s="3" t="n"/>
      <c r="M18" s="4" t="n"/>
      <c r="N18" s="3" t="n"/>
      <c r="O18" s="6">
        <f>IF(COUNTA(L18:N18)&gt;0,SUM(L18:N18),IF(P18="", "", P18))</f>
        <v/>
      </c>
      <c r="P18" s="3" t="n">
        <v>3</v>
      </c>
      <c r="Q18" s="3" t="n"/>
      <c r="R18" s="3" t="n">
        <v>20</v>
      </c>
      <c r="S18" s="6">
        <f>IF(OR(C18="",J18="",O18=""),"",C18+J18-O18)</f>
        <v/>
      </c>
      <c r="T18" s="3" t="n">
        <v>38</v>
      </c>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DATE(2025,11,13)</f>
        <v/>
      </c>
      <c r="B19" s="6" t="n">
        <v>13</v>
      </c>
      <c r="C19" s="6">
        <f>Q18</f>
        <v/>
      </c>
      <c r="D19" s="3" t="n"/>
      <c r="E19" s="3" t="n"/>
      <c r="F19" s="3" t="n"/>
      <c r="G19" s="3" t="n"/>
      <c r="H19" s="3" t="n"/>
      <c r="I19" s="3" t="n"/>
      <c r="J19" s="6">
        <f>IF(COUNTA(D19:I19)&gt;0,SUM(D19:I19),IF(K19="", "", K19))</f>
        <v/>
      </c>
      <c r="K19" s="3" t="n">
        <v>2</v>
      </c>
      <c r="L19" s="3" t="n"/>
      <c r="M19" s="4" t="n"/>
      <c r="N19" s="3" t="n"/>
      <c r="O19" s="6">
        <f>IF(COUNTA(L19:N19)&gt;0,SUM(L19:N19),IF(P19="", "", P19))</f>
        <v/>
      </c>
      <c r="P19" s="3" t="n">
        <v>1</v>
      </c>
      <c r="Q19" s="3" t="n"/>
      <c r="R19" s="3" t="n">
        <v>20</v>
      </c>
      <c r="S19" s="6">
        <f>IF(OR(C19="",J19="",O19=""),"",C19+J19-O19)</f>
        <v/>
      </c>
      <c r="T19" s="3" t="n">
        <v>2</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DATE(2025,11,14)</f>
        <v/>
      </c>
      <c r="B20" s="6" t="n">
        <v>14</v>
      </c>
      <c r="C20" s="6">
        <f>Q19</f>
        <v/>
      </c>
      <c r="D20" s="3" t="n"/>
      <c r="E20" s="3" t="n"/>
      <c r="F20" s="3" t="n"/>
      <c r="G20" s="3" t="n"/>
      <c r="H20" s="3" t="n"/>
      <c r="I20" s="3" t="n"/>
      <c r="J20" s="6">
        <f>IF(COUNTA(D20:I20)&gt;0,SUM(D20:I20),IF(K20="", "", K20))</f>
        <v/>
      </c>
      <c r="K20" s="3" t="n">
        <v>5</v>
      </c>
      <c r="L20" s="3" t="n"/>
      <c r="M20" s="4" t="n"/>
      <c r="N20" s="3" t="n"/>
      <c r="O20" s="6">
        <f>IF(COUNTA(L20:N20)&gt;0,SUM(L20:N20),IF(P20="", "", P20))</f>
        <v/>
      </c>
      <c r="P20" s="3" t="n">
        <v>4</v>
      </c>
      <c r="Q20" s="3" t="n"/>
      <c r="R20" s="3" t="n">
        <v>20</v>
      </c>
      <c r="S20" s="6">
        <f>IF(OR(C20="",J20="",O20=""),"",C20+J20-O20)</f>
        <v/>
      </c>
      <c r="T20" s="3" t="n">
        <v>41</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DATE(2025,11,15)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v>20</v>
      </c>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DATE(2025,11,16)</f>
        <v/>
      </c>
      <c r="B22" s="6" t="n">
        <v>16</v>
      </c>
      <c r="C22" s="6">
        <f>Q21</f>
        <v/>
      </c>
      <c r="D22" s="3" t="n"/>
      <c r="E22" s="3" t="n"/>
      <c r="F22" s="3" t="n"/>
      <c r="G22" s="3" t="n"/>
      <c r="H22" s="3" t="n"/>
      <c r="I22" s="3" t="n"/>
      <c r="J22" s="6">
        <f>IF(COUNTA(D22:I22)&gt;0,SUM(D22:I22),IF(K22="", "", K22))</f>
        <v/>
      </c>
      <c r="K22" s="3" t="n">
        <v>1</v>
      </c>
      <c r="L22" s="3" t="n"/>
      <c r="M22" s="4" t="n"/>
      <c r="N22" s="3" t="n"/>
      <c r="O22" s="6">
        <f>IF(COUNTA(L22:N22)&gt;0,SUM(L22:N22),IF(P22="", "", P22))</f>
        <v/>
      </c>
      <c r="P22" s="3" t="n">
        <v>1</v>
      </c>
      <c r="Q22" s="3" t="n"/>
      <c r="R22" s="3" t="n">
        <v>20</v>
      </c>
      <c r="S22" s="6">
        <f>IF(OR(C22="",J22="",O22=""),"",C22+J22-O22)</f>
        <v/>
      </c>
      <c r="T22" s="3" t="n">
        <v>10</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DATE(2025,11,17)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v>5</v>
      </c>
      <c r="Q23" s="3" t="n"/>
      <c r="R23" s="3" t="n">
        <v>20</v>
      </c>
      <c r="S23" s="6">
        <f>IF(OR(C23="",J23="",O23=""),"",C23+J23-O23)</f>
        <v/>
      </c>
      <c r="T23" s="3" t="n">
        <v>44</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DATE(2025,11,18)</f>
        <v/>
      </c>
      <c r="B24" s="6" t="n">
        <v>18</v>
      </c>
      <c r="C24" s="6">
        <f>Q23</f>
        <v/>
      </c>
      <c r="D24" s="3" t="n"/>
      <c r="E24" s="3" t="n"/>
      <c r="F24" s="3" t="n"/>
      <c r="G24" s="3" t="n"/>
      <c r="H24" s="3" t="n"/>
      <c r="I24" s="3" t="n"/>
      <c r="J24" s="6">
        <f>IF(COUNTA(D24:I24)&gt;0,SUM(D24:I24),IF(K24="", "", K24))</f>
        <v/>
      </c>
      <c r="K24" s="3" t="n">
        <v>3</v>
      </c>
      <c r="L24" s="3" t="n"/>
      <c r="M24" s="4" t="n"/>
      <c r="N24" s="3" t="n"/>
      <c r="O24" s="6">
        <f>IF(COUNTA(L24:N24)&gt;0,SUM(L24:N24),IF(P24="", "", P24))</f>
        <v/>
      </c>
      <c r="P24" s="3" t="n">
        <v>2</v>
      </c>
      <c r="Q24" s="3" t="n"/>
      <c r="R24" s="3" t="n">
        <v>20</v>
      </c>
      <c r="S24" s="6">
        <f>IF(OR(C24="",J24="",O24=""),"",C24+J24-O24)</f>
        <v/>
      </c>
      <c r="T24" s="3" t="n">
        <v>24</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DATE(2025,11,19)</f>
        <v/>
      </c>
      <c r="B25" s="6" t="n">
        <v>19</v>
      </c>
      <c r="C25" s="6">
        <f>Q24</f>
        <v/>
      </c>
      <c r="D25" s="3" t="n"/>
      <c r="E25" s="3" t="n"/>
      <c r="F25" s="3" t="n"/>
      <c r="G25" s="3" t="n"/>
      <c r="H25" s="3" t="n"/>
      <c r="I25" s="3" t="n"/>
      <c r="J25" s="6">
        <f>IF(COUNTA(D25:I25)&gt;0,SUM(D25:I25),IF(K25="", "", K25))</f>
        <v/>
      </c>
      <c r="K25" s="3" t="n">
        <v>1</v>
      </c>
      <c r="L25" s="3" t="n"/>
      <c r="M25" s="4" t="n"/>
      <c r="N25" s="3" t="n"/>
      <c r="O25" s="6">
        <f>IF(COUNTA(L25:N25)&gt;0,SUM(L25:N25),IF(P25="", "", P25))</f>
        <v/>
      </c>
      <c r="P25" s="3" t="n">
        <v>1</v>
      </c>
      <c r="Q25" s="3" t="n"/>
      <c r="R25" s="3" t="n">
        <v>20</v>
      </c>
      <c r="S25" s="6">
        <f>IF(OR(C25="",J25="",O25=""),"",C25+J25-O25)</f>
        <v/>
      </c>
      <c r="T25" s="3" t="n">
        <v>10</v>
      </c>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DATE(2025,11,20)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v>3</v>
      </c>
      <c r="Q26" s="3" t="n"/>
      <c r="R26" s="3" t="n">
        <v>20</v>
      </c>
      <c r="S26" s="6">
        <f>IF(OR(C26="",J26="",O26=""),"",C26+J26-O26)</f>
        <v/>
      </c>
      <c r="T26" s="3" t="n">
        <v>28</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DATE(2025,11,21)</f>
        <v/>
      </c>
      <c r="B27" s="6" t="n">
        <v>21</v>
      </c>
      <c r="C27" s="6">
        <f>Q26</f>
        <v/>
      </c>
      <c r="D27" s="3" t="n"/>
      <c r="E27" s="3" t="n"/>
      <c r="F27" s="3" t="n"/>
      <c r="G27" s="3" t="n"/>
      <c r="H27" s="3" t="n"/>
      <c r="I27" s="3" t="n"/>
      <c r="J27" s="6">
        <f>IF(COUNTA(D27:I27)&gt;0,SUM(D27:I27),IF(K27="", "", K27))</f>
        <v/>
      </c>
      <c r="K27" s="3" t="n">
        <v>3</v>
      </c>
      <c r="L27" s="3" t="n"/>
      <c r="M27" s="4" t="n"/>
      <c r="N27" s="3" t="n"/>
      <c r="O27" s="6">
        <f>IF(COUNTA(L27:N27)&gt;0,SUM(L27:N27),IF(P27="", "", P27))</f>
        <v/>
      </c>
      <c r="P27" s="3" t="n">
        <v>1</v>
      </c>
      <c r="Q27" s="3" t="n"/>
      <c r="R27" s="3" t="n">
        <v>20</v>
      </c>
      <c r="S27" s="6">
        <f>IF(OR(C27="",J27="",O27=""),"",C27+J27-O27)</f>
        <v/>
      </c>
      <c r="T27" s="3" t="n">
        <v>8</v>
      </c>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DATE(2025,11,22)</f>
        <v/>
      </c>
      <c r="B28" s="6" t="n">
        <v>22</v>
      </c>
      <c r="C28" s="6">
        <f>Q27</f>
        <v/>
      </c>
      <c r="D28" s="3" t="n"/>
      <c r="E28" s="3" t="n"/>
      <c r="F28" s="3" t="n"/>
      <c r="G28" s="3" t="n"/>
      <c r="H28" s="3" t="n"/>
      <c r="I28" s="3" t="n"/>
      <c r="J28" s="6">
        <f>IF(COUNTA(D28:I28)&gt;0,SUM(D28:I28),IF(K28="", "", K28))</f>
        <v/>
      </c>
      <c r="K28" s="3" t="n">
        <v>1</v>
      </c>
      <c r="L28" s="3" t="n"/>
      <c r="M28" s="4" t="n"/>
      <c r="N28" s="3" t="n"/>
      <c r="O28" s="6">
        <f>IF(COUNTA(L28:N28)&gt;0,SUM(L28:N28),IF(P28="", "", P28))</f>
        <v/>
      </c>
      <c r="P28" s="3" t="n">
        <v>1</v>
      </c>
      <c r="Q28" s="3" t="n"/>
      <c r="R28" s="3" t="n">
        <v>20</v>
      </c>
      <c r="S28" s="6">
        <f>IF(OR(C28="",J28="",O28=""),"",C28+J28-O28)</f>
        <v/>
      </c>
      <c r="T28" s="3" t="n">
        <v>8</v>
      </c>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DATE(2025,11,23)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v>20</v>
      </c>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DATE(2025,11,24)</f>
        <v/>
      </c>
      <c r="B30" s="6" t="n">
        <v>24</v>
      </c>
      <c r="C30" s="6">
        <f>Q29</f>
        <v/>
      </c>
      <c r="D30" s="3" t="n"/>
      <c r="E30" s="3" t="n"/>
      <c r="F30" s="3" t="n"/>
      <c r="G30" s="3" t="n"/>
      <c r="H30" s="3" t="n"/>
      <c r="I30" s="3" t="n"/>
      <c r="J30" s="6">
        <f>IF(COUNTA(D30:I30)&gt;0,SUM(D30:I30),IF(K30="", "", K30))</f>
        <v/>
      </c>
      <c r="K30" s="3" t="n">
        <v>1</v>
      </c>
      <c r="L30" s="3" t="n"/>
      <c r="M30" s="4" t="n"/>
      <c r="N30" s="3" t="n"/>
      <c r="O30" s="6">
        <f>IF(COUNTA(L30:N30)&gt;0,SUM(L30:N30),IF(P30="", "", P30))</f>
        <v/>
      </c>
      <c r="P30" s="3" t="n">
        <v>2</v>
      </c>
      <c r="Q30" s="3" t="n"/>
      <c r="R30" s="3" t="n">
        <v>20</v>
      </c>
      <c r="S30" s="6">
        <f>IF(OR(C30="",J30="",O30=""),"",C30+J30-O30)</f>
        <v/>
      </c>
      <c r="T30" s="3" t="n">
        <v>21</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DATE(2025,11,25)</f>
        <v/>
      </c>
      <c r="B31" s="6" t="n">
        <v>25</v>
      </c>
      <c r="C31" s="6">
        <f>Q30</f>
        <v/>
      </c>
      <c r="D31" s="3" t="n"/>
      <c r="E31" s="3" t="n"/>
      <c r="F31" s="3" t="n"/>
      <c r="G31" s="3" t="n"/>
      <c r="H31" s="3" t="n"/>
      <c r="I31" s="3" t="n"/>
      <c r="J31" s="6">
        <f>IF(COUNTA(D31:I31)&gt;0,SUM(D31:I31),IF(K31="", "", K31))</f>
        <v/>
      </c>
      <c r="K31" s="3" t="n">
        <v>1</v>
      </c>
      <c r="L31" s="3" t="n"/>
      <c r="M31" s="4" t="n"/>
      <c r="N31" s="3" t="n"/>
      <c r="O31" s="6">
        <f>IF(COUNTA(L31:N31)&gt;0,SUM(L31:N31),IF(P31="", "", P31))</f>
        <v/>
      </c>
      <c r="P31" s="3" t="n">
        <v>1</v>
      </c>
      <c r="Q31" s="3" t="n"/>
      <c r="R31" s="3" t="n">
        <v>20</v>
      </c>
      <c r="S31" s="6">
        <f>IF(OR(C31="",J31="",O31=""),"",C31+J31-O31)</f>
        <v/>
      </c>
      <c r="T31" s="3" t="n">
        <v>8</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DATE(2025,11,26)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v>3</v>
      </c>
      <c r="Q32" s="3" t="n"/>
      <c r="R32" s="3" t="n">
        <v>20</v>
      </c>
      <c r="S32" s="6">
        <f>IF(OR(C32="",J32="",O32=""),"",C32+J32-O32)</f>
        <v/>
      </c>
      <c r="T32" s="3" t="n">
        <v>43</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DATE(2025,11,27)</f>
        <v/>
      </c>
      <c r="B33" s="6" t="n">
        <v>27</v>
      </c>
      <c r="C33" s="6">
        <f>Q32</f>
        <v/>
      </c>
      <c r="D33" s="3" t="n"/>
      <c r="E33" s="3" t="n"/>
      <c r="F33" s="3" t="n"/>
      <c r="G33" s="3" t="n"/>
      <c r="H33" s="3" t="n"/>
      <c r="I33" s="3" t="n"/>
      <c r="J33" s="6">
        <f>IF(COUNTA(D33:I33)&gt;0,SUM(D33:I33),IF(K33="", "", K33))</f>
        <v/>
      </c>
      <c r="K33" s="3" t="n">
        <v>2</v>
      </c>
      <c r="L33" s="3" t="n"/>
      <c r="M33" s="4" t="n"/>
      <c r="N33" s="3" t="n"/>
      <c r="O33" s="6">
        <f>IF(COUNTA(L33:N33)&gt;0,SUM(L33:N33),IF(P33="", "", P33))</f>
        <v/>
      </c>
      <c r="P33" s="3" t="n"/>
      <c r="Q33" s="3" t="n"/>
      <c r="R33" s="3" t="n">
        <v>20</v>
      </c>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DATE(2025,11,28)</f>
        <v/>
      </c>
      <c r="B34" s="6" t="n">
        <v>28</v>
      </c>
      <c r="C34" s="6">
        <f>Q33</f>
        <v/>
      </c>
      <c r="D34" s="3" t="n"/>
      <c r="E34" s="3" t="n"/>
      <c r="F34" s="3" t="n"/>
      <c r="G34" s="3" t="n"/>
      <c r="H34" s="3" t="n"/>
      <c r="I34" s="3" t="n"/>
      <c r="J34" s="6">
        <f>IF(COUNTA(D34:I34)&gt;0,SUM(D34:I34),IF(K34="", "", K34))</f>
        <v/>
      </c>
      <c r="K34" s="3" t="n">
        <v>3</v>
      </c>
      <c r="L34" s="3" t="n"/>
      <c r="M34" s="4" t="n"/>
      <c r="N34" s="3" t="n"/>
      <c r="O34" s="6">
        <f>IF(COUNTA(L34:N34)&gt;0,SUM(L34:N34),IF(P34="", "", P34))</f>
        <v/>
      </c>
      <c r="P34" s="3" t="n">
        <v>2</v>
      </c>
      <c r="Q34" s="3" t="n"/>
      <c r="R34" s="3" t="n">
        <v>20</v>
      </c>
      <c r="S34" s="6">
        <f>IF(OR(C34="",J34="",O34=""),"",C34+J34-O34)</f>
        <v/>
      </c>
      <c r="T34" s="3" t="n">
        <v>21</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DATE(2025,11,29)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v>20</v>
      </c>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DATE(2025,11,30)</f>
        <v/>
      </c>
      <c r="B36" s="6" t="n">
        <v>30</v>
      </c>
      <c r="C36" s="6">
        <f>Q35</f>
        <v/>
      </c>
      <c r="D36" s="3" t="n"/>
      <c r="E36" s="3" t="n"/>
      <c r="F36" s="3" t="n"/>
      <c r="G36" s="3" t="n"/>
      <c r="H36" s="3" t="n"/>
      <c r="I36" s="3" t="n"/>
      <c r="J36" s="6">
        <f>IF(COUNTA(D36:I36)&gt;0,SUM(D36:I36),IF(K36="", "", K36))</f>
        <v/>
      </c>
      <c r="K36" s="3" t="n">
        <v>1</v>
      </c>
      <c r="L36" s="3" t="n"/>
      <c r="M36" s="4" t="n"/>
      <c r="N36" s="3" t="n"/>
      <c r="O36" s="6">
        <f>IF(COUNTA(L36:N36)&gt;0,SUM(L36:N36),IF(P36="", "", P36))</f>
        <v/>
      </c>
      <c r="P36" s="3" t="n">
        <v>1</v>
      </c>
      <c r="Q36" s="3" t="n"/>
      <c r="R36" s="3" t="n">
        <v>20</v>
      </c>
      <c r="S36" s="6">
        <f>IF(OR(C36="",J36="",O36=""),"",C36+J36-O36)</f>
        <v/>
      </c>
      <c r="T36" s="3" t="n">
        <v>18</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DICIEMBRE 2025</t>
        </is>
      </c>
    </row>
    <row r="2">
      <c r="A2" s="2" t="inlineStr">
        <is>
          <t>Servicio</t>
        </is>
      </c>
      <c r="B2" s="6">
        <f>01_PARAMETROS!B3</f>
        <v/>
      </c>
      <c r="C2" s="2" t="inlineStr">
        <is>
          <t>Codigo</t>
        </is>
      </c>
      <c r="D2" s="6">
        <f>01_PARAMETROS!B4</f>
        <v/>
      </c>
      <c r="E2" s="2" t="inlineStr">
        <is>
          <t>Mes</t>
        </is>
      </c>
      <c r="F2" s="3" t="inlineStr">
        <is>
          <t>DICIEMBRE</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DATE(2025,12,1)</f>
        <v/>
      </c>
      <c r="B7" s="6" t="n">
        <v>1</v>
      </c>
      <c r="C7" s="3" t="n">
        <v>14</v>
      </c>
      <c r="D7" s="3" t="n"/>
      <c r="E7" s="3" t="n"/>
      <c r="F7" s="3" t="n"/>
      <c r="G7" s="3" t="n"/>
      <c r="H7" s="3" t="n"/>
      <c r="I7" s="3" t="n"/>
      <c r="J7" s="6">
        <f>IF(COUNTA(D7:I7)&gt;0,SUM(D7:I7),IF(K7="", "", K7))</f>
        <v/>
      </c>
      <c r="K7" s="3" t="n">
        <v>5</v>
      </c>
      <c r="L7" s="3" t="n"/>
      <c r="M7" s="4" t="n"/>
      <c r="N7" s="3" t="n"/>
      <c r="O7" s="6">
        <f>IF(COUNTA(L7:N7)&gt;0,SUM(L7:N7),IF(P7="", "", P7))</f>
        <v/>
      </c>
      <c r="P7" s="3" t="n">
        <v>4</v>
      </c>
      <c r="Q7" s="3" t="n"/>
      <c r="R7" s="3" t="n">
        <v>20</v>
      </c>
      <c r="S7" s="6">
        <f>IF(OR(C7="",J7="",O7=""),"",C7+J7-O7)</f>
        <v/>
      </c>
      <c r="T7" s="3" t="n">
        <v>40</v>
      </c>
      <c r="U7" s="3" t="n"/>
      <c r="V7" s="3" t="n"/>
      <c r="W7" s="6">
        <f>IF(Z7=1,"FALTAN DATOS",IF(S7&lt;0,"OCUPACION NEGATIVA",IF(X7=1,"SOBREOCUPACION",IF(Y7&lt;&gt;0,"BALANCE RARO","OK"))))</f>
        <v/>
      </c>
      <c r="X7" s="6">
        <f>IF(AND(R7&lt;&gt;"",S7&gt;R7),1,0)</f>
        <v/>
      </c>
      <c r="Y7" s="6">
        <f>IF(OR(C7="",J7="",O7="",S7=""),"",C7+J7-O7-S7)</f>
        <v/>
      </c>
      <c r="Z7" s="6">
        <f>IF(OR(R7="",A7="",B7="",C7="",J7="",O7=""),1,0)</f>
        <v/>
      </c>
    </row>
    <row r="8">
      <c r="A8" s="6">
        <f>DATE(2025,12,2)</f>
        <v/>
      </c>
      <c r="B8" s="6" t="n">
        <v>2</v>
      </c>
      <c r="C8" s="6">
        <f>Q7</f>
        <v/>
      </c>
      <c r="D8" s="3" t="n"/>
      <c r="E8" s="3" t="n"/>
      <c r="F8" s="3" t="n"/>
      <c r="G8" s="3" t="n"/>
      <c r="H8" s="3" t="n"/>
      <c r="I8" s="3" t="n"/>
      <c r="J8" s="6">
        <f>IF(COUNTA(D8:I8)&gt;0,SUM(D8:I8),IF(K8="", "", K8))</f>
        <v/>
      </c>
      <c r="K8" s="3" t="n">
        <v>1</v>
      </c>
      <c r="L8" s="3" t="n"/>
      <c r="M8" s="4" t="n"/>
      <c r="N8" s="3" t="n"/>
      <c r="O8" s="6">
        <f>IF(COUNTA(L8:N8)&gt;0,SUM(L8:N8),IF(P8="", "", P8))</f>
        <v/>
      </c>
      <c r="P8" s="3" t="n"/>
      <c r="Q8" s="3" t="n"/>
      <c r="R8" s="3" t="n">
        <v>20</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DATE(2025,12,3)</f>
        <v/>
      </c>
      <c r="B9" s="6" t="n">
        <v>3</v>
      </c>
      <c r="C9" s="6">
        <f>Q8</f>
        <v/>
      </c>
      <c r="D9" s="3" t="n"/>
      <c r="E9" s="3" t="n"/>
      <c r="F9" s="3" t="n"/>
      <c r="G9" s="3" t="n"/>
      <c r="H9" s="3" t="n"/>
      <c r="I9" s="3" t="n"/>
      <c r="J9" s="6">
        <f>IF(COUNTA(D9:I9)&gt;0,SUM(D9:I9),IF(K9="", "", K9))</f>
        <v/>
      </c>
      <c r="K9" s="3" t="n">
        <v>1</v>
      </c>
      <c r="L9" s="3" t="n"/>
      <c r="M9" s="4" t="n"/>
      <c r="N9" s="3" t="n"/>
      <c r="O9" s="6">
        <f>IF(COUNTA(L9:N9)&gt;0,SUM(L9:N9),IF(P9="", "", P9))</f>
        <v/>
      </c>
      <c r="P9" s="3" t="n">
        <v>1</v>
      </c>
      <c r="Q9" s="3" t="n"/>
      <c r="R9" s="3" t="n">
        <v>20</v>
      </c>
      <c r="S9" s="6">
        <f>IF(OR(C9="",J9="",O9=""),"",C9+J9-O9)</f>
        <v/>
      </c>
      <c r="T9" s="3" t="n">
        <v>17</v>
      </c>
      <c r="U9" s="3" t="n"/>
      <c r="V9" s="3" t="n"/>
      <c r="W9" s="6">
        <f>IF(Z9=1,"FALTAN DATOS",IF(S9&lt;0,"OCUPACION NEGATIVA",IF(X9=1,"SOBREOCUPACION",IF(Y9&lt;&gt;0,"BALANCE RARO","OK"))))</f>
        <v/>
      </c>
      <c r="X9" s="6">
        <f>IF(AND(R9&lt;&gt;"",S9&gt;R9),1,0)</f>
        <v/>
      </c>
      <c r="Y9" s="6">
        <f>IF(OR(C9="",J9="",O9="",S9=""),"",C9+J9-O9-S9)</f>
        <v/>
      </c>
      <c r="Z9" s="6">
        <f>IF(OR(R9="",A9="",B9="",C9="",J9="",O9=""),1,0)</f>
        <v/>
      </c>
    </row>
    <row r="10">
      <c r="A10" s="6">
        <f>DATE(2025,12,4)</f>
        <v/>
      </c>
      <c r="B10" s="6" t="n">
        <v>4</v>
      </c>
      <c r="C10" s="6">
        <f>Q9</f>
        <v/>
      </c>
      <c r="D10" s="3" t="n"/>
      <c r="E10" s="3" t="n"/>
      <c r="F10" s="3" t="n"/>
      <c r="G10" s="3" t="n"/>
      <c r="H10" s="3" t="n"/>
      <c r="I10" s="3" t="n"/>
      <c r="J10" s="6">
        <f>IF(COUNTA(D10:I10)&gt;0,SUM(D10:I10),IF(K10="", "", K10))</f>
        <v/>
      </c>
      <c r="K10" s="3" t="n">
        <v>2</v>
      </c>
      <c r="L10" s="3" t="n"/>
      <c r="M10" s="4" t="n"/>
      <c r="N10" s="3" t="n"/>
      <c r="O10" s="6">
        <f>IF(COUNTA(L10:N10)&gt;0,SUM(L10:N10),IF(P10="", "", P10))</f>
        <v/>
      </c>
      <c r="P10" s="3" t="n">
        <v>2</v>
      </c>
      <c r="Q10" s="3" t="n"/>
      <c r="R10" s="3" t="n">
        <v>20</v>
      </c>
      <c r="S10" s="6">
        <f>IF(OR(C10="",J10="",O10=""),"",C10+J10-O10)</f>
        <v/>
      </c>
      <c r="T10" s="3" t="n">
        <v>12</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DATE(2025,12,5)</f>
        <v/>
      </c>
      <c r="B11" s="6" t="n">
        <v>5</v>
      </c>
      <c r="C11" s="6">
        <f>Q10</f>
        <v/>
      </c>
      <c r="D11" s="3" t="n"/>
      <c r="E11" s="3" t="n"/>
      <c r="F11" s="3" t="n"/>
      <c r="G11" s="3" t="n"/>
      <c r="H11" s="3" t="n"/>
      <c r="I11" s="3" t="n"/>
      <c r="J11" s="6">
        <f>IF(COUNTA(D11:I11)&gt;0,SUM(D11:I11),IF(K11="", "", K11))</f>
        <v/>
      </c>
      <c r="K11" s="3" t="n">
        <v>2</v>
      </c>
      <c r="L11" s="3" t="n"/>
      <c r="M11" s="4" t="n"/>
      <c r="N11" s="3" t="n"/>
      <c r="O11" s="6">
        <f>IF(COUNTA(L11:N11)&gt;0,SUM(L11:N11),IF(P11="", "", P11))</f>
        <v/>
      </c>
      <c r="P11" s="3" t="n">
        <v>1</v>
      </c>
      <c r="Q11" s="3" t="n"/>
      <c r="R11" s="3" t="n">
        <v>20</v>
      </c>
      <c r="S11" s="6">
        <f>IF(OR(C11="",J11="",O11=""),"",C11+J11-O11)</f>
        <v/>
      </c>
      <c r="T11" s="3" t="n">
        <v>5</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v>20</v>
      </c>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DATE(2025,12,7)</f>
        <v/>
      </c>
      <c r="B13" s="6" t="n">
        <v>7</v>
      </c>
      <c r="C13" s="6">
        <f>Q12</f>
        <v/>
      </c>
      <c r="D13" s="3" t="n"/>
      <c r="E13" s="3" t="n"/>
      <c r="F13" s="3" t="n"/>
      <c r="G13" s="3" t="n"/>
      <c r="H13" s="3" t="n"/>
      <c r="I13" s="3" t="n"/>
      <c r="J13" s="6">
        <f>IF(COUNTA(D13:I13)&gt;0,SUM(D13:I13),IF(K13="", "", K13))</f>
        <v/>
      </c>
      <c r="K13" s="3" t="n">
        <v>1</v>
      </c>
      <c r="L13" s="3" t="n"/>
      <c r="M13" s="4" t="n"/>
      <c r="N13" s="3" t="n"/>
      <c r="O13" s="6">
        <f>IF(COUNTA(L13:N13)&gt;0,SUM(L13:N13),IF(P13="", "", P13))</f>
        <v/>
      </c>
      <c r="P13" s="3" t="n">
        <v>2</v>
      </c>
      <c r="Q13" s="3" t="n"/>
      <c r="R13" s="3" t="n">
        <v>20</v>
      </c>
      <c r="S13" s="6">
        <f>IF(OR(C13="",J13="",O13=""),"",C13+J13-O13)</f>
        <v/>
      </c>
      <c r="T13" s="3" t="n">
        <v>30</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DATE(2025,12,8)</f>
        <v/>
      </c>
      <c r="B14" s="6" t="n">
        <v>8</v>
      </c>
      <c r="C14" s="6">
        <f>Q13</f>
        <v/>
      </c>
      <c r="D14" s="3" t="n"/>
      <c r="E14" s="3" t="n"/>
      <c r="F14" s="3" t="n"/>
      <c r="G14" s="3" t="n"/>
      <c r="H14" s="3" t="n"/>
      <c r="I14" s="3" t="n"/>
      <c r="J14" s="6">
        <f>IF(COUNTA(D14:I14)&gt;0,SUM(D14:I14),IF(K14="", "", K14))</f>
        <v/>
      </c>
      <c r="K14" s="3" t="n">
        <v>1</v>
      </c>
      <c r="L14" s="3" t="n"/>
      <c r="M14" s="4" t="n"/>
      <c r="N14" s="3" t="n"/>
      <c r="O14" s="6">
        <f>IF(COUNTA(L14:N14)&gt;0,SUM(L14:N14),IF(P14="", "", P14))</f>
        <v/>
      </c>
      <c r="P14" s="3" t="n"/>
      <c r="Q14" s="3" t="n"/>
      <c r="R14" s="3" t="n">
        <v>20</v>
      </c>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DATE(2025,12,9)</f>
        <v/>
      </c>
      <c r="B15" s="6" t="n">
        <v>9</v>
      </c>
      <c r="C15" s="6">
        <f>Q14</f>
        <v/>
      </c>
      <c r="D15" s="3" t="n"/>
      <c r="E15" s="3" t="n"/>
      <c r="F15" s="3" t="n"/>
      <c r="G15" s="3" t="n"/>
      <c r="H15" s="3" t="n"/>
      <c r="I15" s="3" t="n"/>
      <c r="J15" s="6">
        <f>IF(COUNTA(D15:I15)&gt;0,SUM(D15:I15),IF(K15="", "", K15))</f>
        <v/>
      </c>
      <c r="K15" s="3" t="n">
        <v>4</v>
      </c>
      <c r="L15" s="3" t="n"/>
      <c r="M15" s="4" t="n"/>
      <c r="N15" s="3" t="n"/>
      <c r="O15" s="6">
        <f>IF(COUNTA(L15:N15)&gt;0,SUM(L15:N15),IF(P15="", "", P15))</f>
        <v/>
      </c>
      <c r="P15" s="3" t="n">
        <v>4</v>
      </c>
      <c r="Q15" s="3" t="n"/>
      <c r="R15" s="3" t="n">
        <v>20</v>
      </c>
      <c r="S15" s="6">
        <f>IF(OR(C15="",J15="",O15=""),"",C15+J15-O15)</f>
        <v/>
      </c>
      <c r="T15" s="3" t="n">
        <v>54</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DATE(2025,12,10)</f>
        <v/>
      </c>
      <c r="B16" s="6" t="n">
        <v>10</v>
      </c>
      <c r="C16" s="6">
        <f>Q15</f>
        <v/>
      </c>
      <c r="D16" s="3" t="n"/>
      <c r="E16" s="3" t="n"/>
      <c r="F16" s="3" t="n"/>
      <c r="G16" s="3" t="n"/>
      <c r="H16" s="3" t="n"/>
      <c r="I16" s="3" t="n"/>
      <c r="J16" s="6">
        <f>IF(COUNTA(D16:I16)&gt;0,SUM(D16:I16),IF(K16="", "", K16))</f>
        <v/>
      </c>
      <c r="K16" s="3" t="n">
        <v>1</v>
      </c>
      <c r="L16" s="3" t="n"/>
      <c r="M16" s="4" t="n"/>
      <c r="N16" s="3" t="n"/>
      <c r="O16" s="6">
        <f>IF(COUNTA(L16:N16)&gt;0,SUM(L16:N16),IF(P16="", "", P16))</f>
        <v/>
      </c>
      <c r="P16" s="3" t="n">
        <v>2</v>
      </c>
      <c r="Q16" s="3" t="n"/>
      <c r="R16" s="3" t="n">
        <v>20</v>
      </c>
      <c r="S16" s="6">
        <f>IF(OR(C16="",J16="",O16=""),"",C16+J16-O16)</f>
        <v/>
      </c>
      <c r="T16" s="3" t="n">
        <v>19</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v>20</v>
      </c>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DATE(2025,12,12)</f>
        <v/>
      </c>
      <c r="B18" s="6" t="n">
        <v>12</v>
      </c>
      <c r="C18" s="6">
        <f>Q17</f>
        <v/>
      </c>
      <c r="D18" s="3" t="n"/>
      <c r="E18" s="3" t="n"/>
      <c r="F18" s="3" t="n"/>
      <c r="G18" s="3" t="n"/>
      <c r="H18" s="3" t="n"/>
      <c r="I18" s="3" t="n"/>
      <c r="J18" s="6">
        <f>IF(COUNTA(D18:I18)&gt;0,SUM(D18:I18),IF(K18="", "", K18))</f>
        <v/>
      </c>
      <c r="K18" s="3" t="n">
        <v>1</v>
      </c>
      <c r="L18" s="3" t="n"/>
      <c r="M18" s="4" t="n"/>
      <c r="N18" s="3" t="n"/>
      <c r="O18" s="6">
        <f>IF(COUNTA(L18:N18)&gt;0,SUM(L18:N18),IF(P18="", "", P18))</f>
        <v/>
      </c>
      <c r="P18" s="3" t="n"/>
      <c r="Q18" s="3" t="n"/>
      <c r="R18" s="3" t="n">
        <v>20</v>
      </c>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v>2</v>
      </c>
      <c r="Q19" s="3" t="n"/>
      <c r="R19" s="3" t="n">
        <v>20</v>
      </c>
      <c r="S19" s="6">
        <f>IF(OR(C19="",J19="",O19=""),"",C19+J19-O19)</f>
        <v/>
      </c>
      <c r="T19" s="3" t="n">
        <v>17</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v>1</v>
      </c>
      <c r="Q20" s="3" t="n"/>
      <c r="R20" s="3" t="n">
        <v>20</v>
      </c>
      <c r="S20" s="6">
        <f>IF(OR(C20="",J20="",O20=""),"",C20+J20-O20)</f>
        <v/>
      </c>
      <c r="T20" s="3" t="n">
        <v>34</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DATE(2025,12,15)</f>
        <v/>
      </c>
      <c r="B21" s="6" t="n">
        <v>15</v>
      </c>
      <c r="C21" s="6">
        <f>Q20</f>
        <v/>
      </c>
      <c r="D21" s="3" t="n"/>
      <c r="E21" s="3" t="n"/>
      <c r="F21" s="3" t="n"/>
      <c r="G21" s="3" t="n"/>
      <c r="H21" s="3" t="n"/>
      <c r="I21" s="3" t="n"/>
      <c r="J21" s="6">
        <f>IF(COUNTA(D21:I21)&gt;0,SUM(D21:I21),IF(K21="", "", K21))</f>
        <v/>
      </c>
      <c r="K21" s="3" t="n">
        <v>1</v>
      </c>
      <c r="L21" s="3" t="n"/>
      <c r="M21" s="4" t="n"/>
      <c r="N21" s="3" t="n"/>
      <c r="O21" s="6">
        <f>IF(COUNTA(L21:N21)&gt;0,SUM(L21:N21),IF(P21="", "", P21))</f>
        <v/>
      </c>
      <c r="P21" s="3" t="n"/>
      <c r="Q21" s="3" t="n"/>
      <c r="R21" s="3" t="n">
        <v>20</v>
      </c>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DATE(2025,12,16)</f>
        <v/>
      </c>
      <c r="B22" s="6" t="n">
        <v>16</v>
      </c>
      <c r="C22" s="6">
        <f>Q21</f>
        <v/>
      </c>
      <c r="D22" s="3" t="n"/>
      <c r="E22" s="3" t="n"/>
      <c r="F22" s="3" t="n"/>
      <c r="G22" s="3" t="n"/>
      <c r="H22" s="3" t="n"/>
      <c r="I22" s="3" t="n"/>
      <c r="J22" s="6">
        <f>IF(COUNTA(D22:I22)&gt;0,SUM(D22:I22),IF(K22="", "", K22))</f>
        <v/>
      </c>
      <c r="K22" s="3" t="n">
        <v>3</v>
      </c>
      <c r="L22" s="3" t="n"/>
      <c r="M22" s="4" t="n"/>
      <c r="N22" s="3" t="n"/>
      <c r="O22" s="6">
        <f>IF(COUNTA(L22:N22)&gt;0,SUM(L22:N22),IF(P22="", "", P22))</f>
        <v/>
      </c>
      <c r="P22" s="3" t="n">
        <v>6</v>
      </c>
      <c r="Q22" s="3" t="n"/>
      <c r="R22" s="3" t="n">
        <v>20</v>
      </c>
      <c r="S22" s="6">
        <f>IF(OR(C22="",J22="",O22=""),"",C22+J22-O22)</f>
        <v/>
      </c>
      <c r="T22" s="3" t="n">
        <v>72</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DATE(2025,12,17)</f>
        <v/>
      </c>
      <c r="B23" s="6" t="n">
        <v>17</v>
      </c>
      <c r="C23" s="6">
        <f>Q22</f>
        <v/>
      </c>
      <c r="D23" s="3" t="n"/>
      <c r="E23" s="3" t="n"/>
      <c r="F23" s="3" t="n"/>
      <c r="G23" s="3" t="n"/>
      <c r="H23" s="3" t="n"/>
      <c r="I23" s="3" t="n"/>
      <c r="J23" s="6">
        <f>IF(COUNTA(D23:I23)&gt;0,SUM(D23:I23),IF(K23="", "", K23))</f>
        <v/>
      </c>
      <c r="K23" s="3" t="n">
        <v>1</v>
      </c>
      <c r="L23" s="3" t="n"/>
      <c r="M23" s="4" t="n"/>
      <c r="N23" s="3" t="n"/>
      <c r="O23" s="6">
        <f>IF(COUNTA(L23:N23)&gt;0,SUM(L23:N23),IF(P23="", "", P23))</f>
        <v/>
      </c>
      <c r="P23" s="3" t="n">
        <v>2</v>
      </c>
      <c r="Q23" s="3" t="n"/>
      <c r="R23" s="3" t="n">
        <v>20</v>
      </c>
      <c r="S23" s="6">
        <f>IF(OR(C23="",J23="",O23=""),"",C23+J23-O23)</f>
        <v/>
      </c>
      <c r="T23" s="3" t="n">
        <v>23</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DATE(2025,12,18)</f>
        <v/>
      </c>
      <c r="B24" s="6" t="n">
        <v>18</v>
      </c>
      <c r="C24" s="6">
        <f>Q23</f>
        <v/>
      </c>
      <c r="D24" s="3" t="n"/>
      <c r="E24" s="3" t="n"/>
      <c r="F24" s="3" t="n"/>
      <c r="G24" s="3" t="n"/>
      <c r="H24" s="3" t="n"/>
      <c r="I24" s="3" t="n"/>
      <c r="J24" s="6">
        <f>IF(COUNTA(D24:I24)&gt;0,SUM(D24:I24),IF(K24="", "", K24))</f>
        <v/>
      </c>
      <c r="K24" s="3" t="n">
        <v>1</v>
      </c>
      <c r="L24" s="3" t="n"/>
      <c r="M24" s="4" t="n"/>
      <c r="N24" s="3" t="n"/>
      <c r="O24" s="6">
        <f>IF(COUNTA(L24:N24)&gt;0,SUM(L24:N24),IF(P24="", "", P24))</f>
        <v/>
      </c>
      <c r="P24" s="3" t="n">
        <v>2</v>
      </c>
      <c r="Q24" s="3" t="n"/>
      <c r="R24" s="3" t="n">
        <v>20</v>
      </c>
      <c r="S24" s="6">
        <f>IF(OR(C24="",J24="",O24=""),"",C24+J24-O24)</f>
        <v/>
      </c>
      <c r="T24" s="3" t="n">
        <v>30</v>
      </c>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DATE(2025,12,19)</f>
        <v/>
      </c>
      <c r="B25" s="6" t="n">
        <v>19</v>
      </c>
      <c r="C25" s="6">
        <f>Q24</f>
        <v/>
      </c>
      <c r="D25" s="3" t="n"/>
      <c r="E25" s="3" t="n"/>
      <c r="F25" s="3" t="n"/>
      <c r="G25" s="3" t="n"/>
      <c r="H25" s="3" t="n"/>
      <c r="I25" s="3" t="n"/>
      <c r="J25" s="6">
        <f>IF(COUNTA(D25:I25)&gt;0,SUM(D25:I25),IF(K25="", "", K25))</f>
        <v/>
      </c>
      <c r="K25" s="3" t="n">
        <v>3</v>
      </c>
      <c r="L25" s="3" t="n"/>
      <c r="M25" s="4" t="n"/>
      <c r="N25" s="3" t="n"/>
      <c r="O25" s="6">
        <f>IF(COUNTA(L25:N25)&gt;0,SUM(L25:N25),IF(P25="", "", P25))</f>
        <v/>
      </c>
      <c r="P25" s="3" t="n"/>
      <c r="Q25" s="3" t="n"/>
      <c r="R25" s="3" t="n">
        <v>20</v>
      </c>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DATE(2025,12,20)</f>
        <v/>
      </c>
      <c r="B26" s="6" t="n">
        <v>20</v>
      </c>
      <c r="C26" s="6">
        <f>Q25</f>
        <v/>
      </c>
      <c r="D26" s="3" t="n"/>
      <c r="E26" s="3" t="n"/>
      <c r="F26" s="3" t="n"/>
      <c r="G26" s="3" t="n"/>
      <c r="H26" s="3" t="n"/>
      <c r="I26" s="3" t="n"/>
      <c r="J26" s="6">
        <f>IF(COUNTA(D26:I26)&gt;0,SUM(D26:I26),IF(K26="", "", K26))</f>
        <v/>
      </c>
      <c r="K26" s="3" t="n">
        <v>1</v>
      </c>
      <c r="L26" s="3" t="n"/>
      <c r="M26" s="4" t="n"/>
      <c r="N26" s="3" t="n"/>
      <c r="O26" s="6">
        <f>IF(COUNTA(L26:N26)&gt;0,SUM(L26:N26),IF(P26="", "", P26))</f>
        <v/>
      </c>
      <c r="P26" s="3" t="n">
        <v>3</v>
      </c>
      <c r="Q26" s="3" t="n"/>
      <c r="R26" s="3" t="n">
        <v>20</v>
      </c>
      <c r="S26" s="6">
        <f>IF(OR(C26="",J26="",O26=""),"",C26+J26-O26)</f>
        <v/>
      </c>
      <c r="T26" s="3" t="n">
        <v>43</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v>20</v>
      </c>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DATE(2025,12,22)</f>
        <v/>
      </c>
      <c r="B28" s="6" t="n">
        <v>22</v>
      </c>
      <c r="C28" s="6">
        <f>Q27</f>
        <v/>
      </c>
      <c r="D28" s="3" t="n"/>
      <c r="E28" s="3" t="n"/>
      <c r="F28" s="3" t="n"/>
      <c r="G28" s="3" t="n"/>
      <c r="H28" s="3" t="n"/>
      <c r="I28" s="3" t="n"/>
      <c r="J28" s="6">
        <f>IF(COUNTA(D28:I28)&gt;0,SUM(D28:I28),IF(K28="", "", K28))</f>
        <v/>
      </c>
      <c r="K28" s="3" t="n">
        <v>4</v>
      </c>
      <c r="L28" s="3" t="n"/>
      <c r="M28" s="4" t="n"/>
      <c r="N28" s="3" t="n"/>
      <c r="O28" s="6">
        <f>IF(COUNTA(L28:N28)&gt;0,SUM(L28:N28),IF(P28="", "", P28))</f>
        <v/>
      </c>
      <c r="P28" s="3" t="n">
        <v>4</v>
      </c>
      <c r="Q28" s="3" t="n"/>
      <c r="R28" s="3" t="n">
        <v>20</v>
      </c>
      <c r="S28" s="6">
        <f>IF(OR(C28="",J28="",O28=""),"",C28+J28-O28)</f>
        <v/>
      </c>
      <c r="T28" s="3" t="n">
        <v>34</v>
      </c>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DATE(2025,12,23)</f>
        <v/>
      </c>
      <c r="B29" s="6" t="n">
        <v>23</v>
      </c>
      <c r="C29" s="6">
        <f>Q28</f>
        <v/>
      </c>
      <c r="D29" s="3" t="n"/>
      <c r="E29" s="3" t="n"/>
      <c r="F29" s="3" t="n"/>
      <c r="G29" s="3" t="n"/>
      <c r="H29" s="3" t="n"/>
      <c r="I29" s="3" t="n"/>
      <c r="J29" s="6">
        <f>IF(COUNTA(D29:I29)&gt;0,SUM(D29:I29),IF(K29="", "", K29))</f>
        <v/>
      </c>
      <c r="K29" s="3" t="n">
        <v>2</v>
      </c>
      <c r="L29" s="3" t="n"/>
      <c r="M29" s="4" t="n"/>
      <c r="N29" s="3" t="n"/>
      <c r="O29" s="6">
        <f>IF(COUNTA(L29:N29)&gt;0,SUM(L29:N29),IF(P29="", "", P29))</f>
        <v/>
      </c>
      <c r="P29" s="3" t="n">
        <v>2</v>
      </c>
      <c r="Q29" s="3" t="n"/>
      <c r="R29" s="3" t="n">
        <v>20</v>
      </c>
      <c r="S29" s="6">
        <f>IF(OR(C29="",J29="",O29=""),"",C29+J29-O29)</f>
        <v/>
      </c>
      <c r="T29" s="3" t="n">
        <v>22</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DATE(2025,12,24)</f>
        <v/>
      </c>
      <c r="B30" s="6" t="n">
        <v>24</v>
      </c>
      <c r="C30" s="6">
        <f>Q29</f>
        <v/>
      </c>
      <c r="D30" s="3" t="n"/>
      <c r="E30" s="3" t="n"/>
      <c r="F30" s="3" t="n"/>
      <c r="G30" s="3" t="n"/>
      <c r="H30" s="3" t="n"/>
      <c r="I30" s="3" t="n"/>
      <c r="J30" s="6">
        <f>IF(COUNTA(D30:I30)&gt;0,SUM(D30:I30),IF(K30="", "", K30))</f>
        <v/>
      </c>
      <c r="K30" s="3" t="n">
        <v>3</v>
      </c>
      <c r="L30" s="3" t="n"/>
      <c r="M30" s="4" t="n"/>
      <c r="N30" s="3" t="n"/>
      <c r="O30" s="6">
        <f>IF(COUNTA(L30:N30)&gt;0,SUM(L30:N30),IF(P30="", "", P30))</f>
        <v/>
      </c>
      <c r="P30" s="3" t="n"/>
      <c r="Q30" s="3" t="n"/>
      <c r="R30" s="3" t="n">
        <v>20</v>
      </c>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DATE(2025,12,25)</f>
        <v/>
      </c>
      <c r="B31" s="6" t="n">
        <v>25</v>
      </c>
      <c r="C31" s="6">
        <f>Q30</f>
        <v/>
      </c>
      <c r="D31" s="3" t="n"/>
      <c r="E31" s="3" t="n"/>
      <c r="F31" s="3" t="n"/>
      <c r="G31" s="3" t="n"/>
      <c r="H31" s="3" t="n"/>
      <c r="I31" s="3" t="n"/>
      <c r="J31" s="6">
        <f>IF(COUNTA(D31:I31)&gt;0,SUM(D31:I31),IF(K31="", "", K31))</f>
        <v/>
      </c>
      <c r="K31" s="3" t="n">
        <v>1</v>
      </c>
      <c r="L31" s="3" t="n"/>
      <c r="M31" s="4" t="n"/>
      <c r="N31" s="3" t="n"/>
      <c r="O31" s="6">
        <f>IF(COUNTA(L31:N31)&gt;0,SUM(L31:N31),IF(P31="", "", P31))</f>
        <v/>
      </c>
      <c r="P31" s="3" t="n">
        <v>1</v>
      </c>
      <c r="Q31" s="3" t="n"/>
      <c r="R31" s="3" t="n">
        <v>20</v>
      </c>
      <c r="S31" s="6">
        <f>IF(OR(C31="",J31="",O31=""),"",C31+J31-O31)</f>
        <v/>
      </c>
      <c r="T31" s="3" t="n">
        <v>6</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DATE(2025,12,26)</f>
        <v/>
      </c>
      <c r="B32" s="6" t="n">
        <v>26</v>
      </c>
      <c r="C32" s="6">
        <f>Q31</f>
        <v/>
      </c>
      <c r="D32" s="3" t="n"/>
      <c r="E32" s="3" t="n"/>
      <c r="F32" s="3" t="n"/>
      <c r="G32" s="3" t="n"/>
      <c r="H32" s="3" t="n"/>
      <c r="I32" s="3" t="n"/>
      <c r="J32" s="6">
        <f>IF(COUNTA(D32:I32)&gt;0,SUM(D32:I32),IF(K32="", "", K32))</f>
        <v/>
      </c>
      <c r="K32" s="3" t="n">
        <v>3</v>
      </c>
      <c r="L32" s="3" t="n"/>
      <c r="M32" s="4" t="n"/>
      <c r="N32" s="3" t="n"/>
      <c r="O32" s="6">
        <f>IF(COUNTA(L32:N32)&gt;0,SUM(L32:N32),IF(P32="", "", P32))</f>
        <v/>
      </c>
      <c r="P32" s="3" t="n">
        <v>6</v>
      </c>
      <c r="Q32" s="3" t="n"/>
      <c r="R32" s="3" t="n">
        <v>20</v>
      </c>
      <c r="S32" s="6">
        <f>IF(OR(C32="",J32="",O32=""),"",C32+J32-O32)</f>
        <v/>
      </c>
      <c r="T32" s="3" t="n">
        <v>55</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DATE(2025,12,27)</f>
        <v/>
      </c>
      <c r="B33" s="6" t="n">
        <v>27</v>
      </c>
      <c r="C33" s="6">
        <f>Q32</f>
        <v/>
      </c>
      <c r="D33" s="3" t="n"/>
      <c r="E33" s="3" t="n"/>
      <c r="F33" s="3" t="n"/>
      <c r="G33" s="3" t="n"/>
      <c r="H33" s="3" t="n"/>
      <c r="I33" s="3" t="n"/>
      <c r="J33" s="6">
        <f>IF(COUNTA(D33:I33)&gt;0,SUM(D33:I33),IF(K33="", "", K33))</f>
        <v/>
      </c>
      <c r="K33" s="3" t="n">
        <v>1</v>
      </c>
      <c r="L33" s="3" t="n"/>
      <c r="M33" s="4" t="n"/>
      <c r="N33" s="3" t="n"/>
      <c r="O33" s="6">
        <f>IF(COUNTA(L33:N33)&gt;0,SUM(L33:N33),IF(P33="", "", P33))</f>
        <v/>
      </c>
      <c r="P33" s="3" t="n"/>
      <c r="Q33" s="3" t="n"/>
      <c r="R33" s="3" t="n">
        <v>20</v>
      </c>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DATE(2025,12,28)</f>
        <v/>
      </c>
      <c r="B34" s="6" t="n">
        <v>28</v>
      </c>
      <c r="C34" s="6">
        <f>Q33</f>
        <v/>
      </c>
      <c r="D34" s="3" t="n"/>
      <c r="E34" s="3" t="n"/>
      <c r="F34" s="3" t="n"/>
      <c r="G34" s="3" t="n"/>
      <c r="H34" s="3" t="n"/>
      <c r="I34" s="3" t="n"/>
      <c r="J34" s="6">
        <f>IF(COUNTA(D34:I34)&gt;0,SUM(D34:I34),IF(K34="", "", K34))</f>
        <v/>
      </c>
      <c r="K34" s="3" t="n">
        <v>2</v>
      </c>
      <c r="L34" s="3" t="n"/>
      <c r="M34" s="4" t="n"/>
      <c r="N34" s="3" t="n"/>
      <c r="O34" s="6">
        <f>IF(COUNTA(L34:N34)&gt;0,SUM(L34:N34),IF(P34="", "", P34))</f>
        <v/>
      </c>
      <c r="P34" s="3" t="n"/>
      <c r="Q34" s="3" t="n"/>
      <c r="R34" s="3" t="n">
        <v>20</v>
      </c>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DATE(2025,12,29)</f>
        <v/>
      </c>
      <c r="B35" s="6" t="n">
        <v>29</v>
      </c>
      <c r="C35" s="6">
        <f>Q34</f>
        <v/>
      </c>
      <c r="D35" s="3" t="n"/>
      <c r="E35" s="3" t="n"/>
      <c r="F35" s="3" t="n"/>
      <c r="G35" s="3" t="n"/>
      <c r="H35" s="3" t="n"/>
      <c r="I35" s="3" t="n"/>
      <c r="J35" s="6">
        <f>IF(COUNTA(D35:I35)&gt;0,SUM(D35:I35),IF(K35="", "", K35))</f>
        <v/>
      </c>
      <c r="K35" s="3" t="n">
        <v>2</v>
      </c>
      <c r="L35" s="3" t="n"/>
      <c r="M35" s="4" t="n"/>
      <c r="N35" s="3" t="n"/>
      <c r="O35" s="6">
        <f>IF(COUNTA(L35:N35)&gt;0,SUM(L35:N35),IF(P35="", "", P35))</f>
        <v/>
      </c>
      <c r="P35" s="3" t="n">
        <v>3</v>
      </c>
      <c r="Q35" s="3" t="n"/>
      <c r="R35" s="3" t="n">
        <v>20</v>
      </c>
      <c r="S35" s="6">
        <f>IF(OR(C35="",J35="",O35=""),"",C35+J35-O35)</f>
        <v/>
      </c>
      <c r="T35" s="3" t="n">
        <v>19</v>
      </c>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DATE(2025,12,30)</f>
        <v/>
      </c>
      <c r="B36" s="6" t="n">
        <v>30</v>
      </c>
      <c r="C36" s="6">
        <f>Q35</f>
        <v/>
      </c>
      <c r="D36" s="3" t="n"/>
      <c r="E36" s="3" t="n"/>
      <c r="F36" s="3" t="n"/>
      <c r="G36" s="3" t="n"/>
      <c r="H36" s="3" t="n"/>
      <c r="I36" s="3" t="n"/>
      <c r="J36" s="6">
        <f>IF(COUNTA(D36:I36)&gt;0,SUM(D36:I36),IF(K36="", "", K36))</f>
        <v/>
      </c>
      <c r="K36" s="3" t="n">
        <v>3</v>
      </c>
      <c r="L36" s="3" t="n"/>
      <c r="M36" s="4" t="n"/>
      <c r="N36" s="3" t="n"/>
      <c r="O36" s="6">
        <f>IF(COUNTA(L36:N36)&gt;0,SUM(L36:N36),IF(P36="", "", P36))</f>
        <v/>
      </c>
      <c r="P36" s="3" t="n">
        <v>4</v>
      </c>
      <c r="Q36" s="3" t="n"/>
      <c r="R36" s="3" t="n">
        <v>20</v>
      </c>
      <c r="S36" s="6">
        <f>IF(OR(C36="",J36="",O36=""),"",C36+J36-O36)</f>
        <v/>
      </c>
      <c r="T36" s="3" t="n">
        <v>30</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DATE(2025,12,31)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v>20</v>
      </c>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ENERO 2026</t>
        </is>
      </c>
    </row>
    <row r="2">
      <c r="A2" s="2" t="inlineStr">
        <is>
          <t>Servicio</t>
        </is>
      </c>
      <c r="B2" s="6">
        <f>01_PARAMETROS!B3</f>
        <v/>
      </c>
      <c r="C2" s="2" t="inlineStr">
        <is>
          <t>Codigo</t>
        </is>
      </c>
      <c r="D2" s="6">
        <f>01_PARAMETROS!B4</f>
        <v/>
      </c>
      <c r="E2" s="2" t="inlineStr">
        <is>
          <t>Mes</t>
        </is>
      </c>
      <c r="F2" s="3" t="inlineStr">
        <is>
          <t>ENERO</t>
        </is>
      </c>
      <c r="G2" s="2" t="inlineStr">
        <is>
          <t>Ano</t>
        </is>
      </c>
      <c r="H2" s="3" t="n">
        <v>2026</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DATE(2026,1,1)</f>
        <v/>
      </c>
      <c r="B7" s="6" t="n">
        <v>1</v>
      </c>
      <c r="C7" s="3" t="n">
        <v>13</v>
      </c>
      <c r="D7" s="3" t="n"/>
      <c r="E7" s="3" t="n"/>
      <c r="F7" s="3" t="n"/>
      <c r="G7" s="3" t="n"/>
      <c r="H7" s="3" t="n"/>
      <c r="I7" s="3" t="n"/>
      <c r="J7" s="6">
        <f>IF(COUNTA(D7:I7)&gt;0,SUM(D7:I7),IF(K7="", "", K7))</f>
        <v/>
      </c>
      <c r="K7" s="3" t="n"/>
      <c r="L7" s="3" t="n"/>
      <c r="M7" s="4" t="n"/>
      <c r="N7" s="3" t="n"/>
      <c r="O7" s="6">
        <f>IF(COUNTA(L7:N7)&gt;0,SUM(L7:N7),IF(P7="", "", P7))</f>
        <v/>
      </c>
      <c r="P7" s="3" t="n">
        <v>1</v>
      </c>
      <c r="Q7" s="3" t="n"/>
      <c r="R7" s="3" t="n">
        <v>20</v>
      </c>
      <c r="S7" s="6">
        <f>IF(OR(C7="",J7="",O7=""),"",C7+J7-O7)</f>
        <v/>
      </c>
      <c r="T7" s="3" t="n">
        <v>7</v>
      </c>
      <c r="U7" s="3" t="n"/>
      <c r="V7" s="3" t="n"/>
      <c r="W7" s="6">
        <f>IF(Z7=1,"FALTAN DATOS",IF(S7&lt;0,"OCUPACION NEGATIVA",IF(X7=1,"SOBREOCUPACION",IF(Y7&lt;&gt;0,"BALANCE RARO","OK"))))</f>
        <v/>
      </c>
      <c r="X7" s="6">
        <f>IF(AND(R7&lt;&gt;"",S7&gt;R7),1,0)</f>
        <v/>
      </c>
      <c r="Y7" s="6">
        <f>IF(OR(C7="",J7="",O7="",S7=""),"",C7+J7-O7-S7)</f>
        <v/>
      </c>
      <c r="Z7" s="6">
        <f>IF(OR(R7="",A7="",B7="",C7="",J7="",O7=""),1,0)</f>
        <v/>
      </c>
    </row>
    <row r="8">
      <c r="A8" s="6">
        <f>DATE(2026,1,2)</f>
        <v/>
      </c>
      <c r="B8" s="6" t="n">
        <v>2</v>
      </c>
      <c r="C8" s="6">
        <f>Q7</f>
        <v/>
      </c>
      <c r="D8" s="3" t="n"/>
      <c r="E8" s="3" t="n"/>
      <c r="F8" s="3" t="n"/>
      <c r="G8" s="3" t="n"/>
      <c r="H8" s="3" t="n"/>
      <c r="I8" s="3" t="n"/>
      <c r="J8" s="6">
        <f>IF(COUNTA(D8:I8)&gt;0,SUM(D8:I8),IF(K8="", "", K8))</f>
        <v/>
      </c>
      <c r="K8" s="3" t="n">
        <v>4</v>
      </c>
      <c r="L8" s="3" t="n"/>
      <c r="M8" s="4" t="n"/>
      <c r="N8" s="3" t="n"/>
      <c r="O8" s="6">
        <f>IF(COUNTA(L8:N8)&gt;0,SUM(L8:N8),IF(P8="", "", P8))</f>
        <v/>
      </c>
      <c r="P8" s="3" t="n">
        <v>1</v>
      </c>
      <c r="Q8" s="3" t="n"/>
      <c r="R8" s="3" t="n">
        <v>20</v>
      </c>
      <c r="S8" s="6">
        <f>IF(OR(C8="",J8="",O8=""),"",C8+J8-O8)</f>
        <v/>
      </c>
      <c r="T8" s="3" t="n">
        <v>12</v>
      </c>
      <c r="U8" s="3" t="n"/>
      <c r="V8" s="3" t="n"/>
      <c r="W8" s="6">
        <f>IF(Z8=1,"FALTAN DATOS",IF(S8&lt;0,"OCUPACION NEGATIVA",IF(X8=1,"SOBREOCUPACION",IF(Y8&lt;&gt;0,"BALANCE RARO","OK"))))</f>
        <v/>
      </c>
      <c r="X8" s="6">
        <f>IF(AND(R8&lt;&gt;"",S8&gt;R8),1,0)</f>
        <v/>
      </c>
      <c r="Y8" s="6">
        <f>IF(OR(C8="",J8="",O8="",S8=""),"",C8+J8-O8-S8)</f>
        <v/>
      </c>
      <c r="Z8" s="6">
        <f>IF(OR(R8="",A8="",B8="",C8="",J8="",O8=""),1,0)</f>
        <v/>
      </c>
    </row>
    <row r="9">
      <c r="A9" s="6">
        <f>DATE(2026,1,3)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v>20</v>
      </c>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DATE(2026,1,4)</f>
        <v/>
      </c>
      <c r="B10" s="6" t="n">
        <v>4</v>
      </c>
      <c r="C10" s="6">
        <f>Q9</f>
        <v/>
      </c>
      <c r="D10" s="3" t="n"/>
      <c r="E10" s="3" t="n"/>
      <c r="F10" s="3" t="n"/>
      <c r="G10" s="3" t="n"/>
      <c r="H10" s="3" t="n"/>
      <c r="I10" s="3" t="n"/>
      <c r="J10" s="6">
        <f>IF(COUNTA(D10:I10)&gt;0,SUM(D10:I10),IF(K10="", "", K10))</f>
        <v/>
      </c>
      <c r="K10" s="3" t="n">
        <v>1</v>
      </c>
      <c r="L10" s="3" t="n"/>
      <c r="M10" s="4" t="n"/>
      <c r="N10" s="3" t="n"/>
      <c r="O10" s="6">
        <f>IF(COUNTA(L10:N10)&gt;0,SUM(L10:N10),IF(P10="", "", P10))</f>
        <v/>
      </c>
      <c r="P10" s="3" t="n"/>
      <c r="Q10" s="3" t="n"/>
      <c r="R10" s="3" t="n">
        <v>20</v>
      </c>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DATE(2026,1,5)</f>
        <v/>
      </c>
      <c r="B11" s="6" t="n">
        <v>5</v>
      </c>
      <c r="C11" s="6">
        <f>Q10</f>
        <v/>
      </c>
      <c r="D11" s="3" t="n"/>
      <c r="E11" s="3" t="n"/>
      <c r="F11" s="3" t="n"/>
      <c r="G11" s="3" t="n"/>
      <c r="H11" s="3" t="n"/>
      <c r="I11" s="3" t="n"/>
      <c r="J11" s="6">
        <f>IF(COUNTA(D11:I11)&gt;0,SUM(D11:I11),IF(K11="", "", K11))</f>
        <v/>
      </c>
      <c r="K11" s="3" t="n">
        <v>2</v>
      </c>
      <c r="L11" s="3" t="n"/>
      <c r="M11" s="4" t="n"/>
      <c r="N11" s="3" t="n"/>
      <c r="O11" s="6">
        <f>IF(COUNTA(L11:N11)&gt;0,SUM(L11:N11),IF(P11="", "", P11))</f>
        <v/>
      </c>
      <c r="P11" s="3" t="n">
        <v>3</v>
      </c>
      <c r="Q11" s="3" t="n"/>
      <c r="R11" s="3" t="n">
        <v>20</v>
      </c>
      <c r="S11" s="6">
        <f>IF(OR(C11="",J11="",O11=""),"",C11+J11-O11)</f>
        <v/>
      </c>
      <c r="T11" s="3" t="n">
        <v>27</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DATE(2026,1,6)</f>
        <v/>
      </c>
      <c r="B12" s="6" t="n">
        <v>6</v>
      </c>
      <c r="C12" s="6">
        <f>Q11</f>
        <v/>
      </c>
      <c r="D12" s="3" t="n"/>
      <c r="E12" s="3" t="n"/>
      <c r="F12" s="3" t="n"/>
      <c r="G12" s="3" t="n"/>
      <c r="H12" s="3" t="n"/>
      <c r="I12" s="3" t="n"/>
      <c r="J12" s="6">
        <f>IF(COUNTA(D12:I12)&gt;0,SUM(D12:I12),IF(K12="", "", K12))</f>
        <v/>
      </c>
      <c r="K12" s="3" t="n">
        <v>1</v>
      </c>
      <c r="L12" s="3" t="n"/>
      <c r="M12" s="4" t="n"/>
      <c r="N12" s="3" t="n"/>
      <c r="O12" s="6">
        <f>IF(COUNTA(L12:N12)&gt;0,SUM(L12:N12),IF(P12="", "", P12))</f>
        <v/>
      </c>
      <c r="P12" s="3" t="n">
        <v>2</v>
      </c>
      <c r="Q12" s="3" t="n"/>
      <c r="R12" s="3" t="n">
        <v>20</v>
      </c>
      <c r="S12" s="6">
        <f>IF(OR(C12="",J12="",O12=""),"",C12+J12-O12)</f>
        <v/>
      </c>
      <c r="T12" s="3" t="n">
        <v>18</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DATE(2026,1,7)</f>
        <v/>
      </c>
      <c r="B13" s="6" t="n">
        <v>7</v>
      </c>
      <c r="C13" s="6">
        <f>Q12</f>
        <v/>
      </c>
      <c r="D13" s="3" t="n"/>
      <c r="E13" s="3" t="n"/>
      <c r="F13" s="3" t="n"/>
      <c r="G13" s="3" t="n"/>
      <c r="H13" s="3" t="n"/>
      <c r="I13" s="3" t="n"/>
      <c r="J13" s="6">
        <f>IF(COUNTA(D13:I13)&gt;0,SUM(D13:I13),IF(K13="", "", K13))</f>
        <v/>
      </c>
      <c r="K13" s="3" t="n">
        <v>3</v>
      </c>
      <c r="L13" s="3" t="n"/>
      <c r="M13" s="4" t="n"/>
      <c r="N13" s="3" t="n"/>
      <c r="O13" s="6">
        <f>IF(COUNTA(L13:N13)&gt;0,SUM(L13:N13),IF(P13="", "", P13))</f>
        <v/>
      </c>
      <c r="P13" s="3" t="n">
        <v>1</v>
      </c>
      <c r="Q13" s="3" t="n"/>
      <c r="R13" s="3" t="n">
        <v>20</v>
      </c>
      <c r="S13" s="6">
        <f>IF(OR(C13="",J13="",O13=""),"",C13+J13-O13)</f>
        <v/>
      </c>
      <c r="T13" s="3" t="n">
        <v>16</v>
      </c>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DATE(2026,1,8)</f>
        <v/>
      </c>
      <c r="B14" s="6" t="n">
        <v>8</v>
      </c>
      <c r="C14" s="6">
        <f>Q13</f>
        <v/>
      </c>
      <c r="D14" s="3" t="n"/>
      <c r="E14" s="3" t="n"/>
      <c r="F14" s="3" t="n"/>
      <c r="G14" s="3" t="n"/>
      <c r="H14" s="3" t="n"/>
      <c r="I14" s="3" t="n"/>
      <c r="J14" s="6">
        <f>IF(COUNTA(D14:I14)&gt;0,SUM(D14:I14),IF(K14="", "", K14))</f>
        <v/>
      </c>
      <c r="K14" s="3" t="n">
        <v>1</v>
      </c>
      <c r="L14" s="3" t="n"/>
      <c r="M14" s="4" t="n"/>
      <c r="N14" s="3" t="n"/>
      <c r="O14" s="6">
        <f>IF(COUNTA(L14:N14)&gt;0,SUM(L14:N14),IF(P14="", "", P14))</f>
        <v/>
      </c>
      <c r="P14" s="3" t="n">
        <v>1</v>
      </c>
      <c r="Q14" s="3" t="n"/>
      <c r="R14" s="3" t="n">
        <v>20</v>
      </c>
      <c r="S14" s="6">
        <f>IF(OR(C14="",J14="",O14=""),"",C14+J14-O14)</f>
        <v/>
      </c>
      <c r="T14" s="3" t="n">
        <v>7</v>
      </c>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DATE(2026,1,9)</f>
        <v/>
      </c>
      <c r="B15" s="6" t="n">
        <v>9</v>
      </c>
      <c r="C15" s="6">
        <f>Q14</f>
        <v/>
      </c>
      <c r="D15" s="3" t="n"/>
      <c r="E15" s="3" t="n"/>
      <c r="F15" s="3" t="n"/>
      <c r="G15" s="3" t="n"/>
      <c r="H15" s="3" t="n"/>
      <c r="I15" s="3" t="n"/>
      <c r="J15" s="6">
        <f>IF(COUNTA(D15:I15)&gt;0,SUM(D15:I15),IF(K15="", "", K15))</f>
        <v/>
      </c>
      <c r="K15" s="3" t="n">
        <v>4</v>
      </c>
      <c r="L15" s="3" t="n"/>
      <c r="M15" s="4" t="n"/>
      <c r="N15" s="3" t="n"/>
      <c r="O15" s="6">
        <f>IF(COUNTA(L15:N15)&gt;0,SUM(L15:N15),IF(P15="", "", P15))</f>
        <v/>
      </c>
      <c r="P15" s="3" t="n">
        <v>1</v>
      </c>
      <c r="Q15" s="3" t="n"/>
      <c r="R15" s="3" t="n">
        <v>20</v>
      </c>
      <c r="S15" s="6">
        <f>IF(OR(C15="",J15="",O15=""),"",C15+J15-O15)</f>
        <v/>
      </c>
      <c r="T15" s="3" t="n">
        <v>12</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DATE(2026,1,10)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v>20</v>
      </c>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DATE(2026,1,11)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v>20</v>
      </c>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DATE(2026,1,12)</f>
        <v/>
      </c>
      <c r="B18" s="6" t="n">
        <v>12</v>
      </c>
      <c r="C18" s="6">
        <f>Q17</f>
        <v/>
      </c>
      <c r="D18" s="3" t="n"/>
      <c r="E18" s="3" t="n"/>
      <c r="F18" s="3" t="n"/>
      <c r="G18" s="3" t="n"/>
      <c r="H18" s="3" t="n"/>
      <c r="I18" s="3" t="n"/>
      <c r="J18" s="6">
        <f>IF(COUNTA(D18:I18)&gt;0,SUM(D18:I18),IF(K18="", "", K18))</f>
        <v/>
      </c>
      <c r="K18" s="3" t="n">
        <v>4</v>
      </c>
      <c r="L18" s="3" t="n"/>
      <c r="M18" s="4" t="n"/>
      <c r="N18" s="3" t="n"/>
      <c r="O18" s="6">
        <f>IF(COUNTA(L18:N18)&gt;0,SUM(L18:N18),IF(P18="", "", P18))</f>
        <v/>
      </c>
      <c r="P18" s="3" t="n">
        <v>2</v>
      </c>
      <c r="Q18" s="3" t="n"/>
      <c r="R18" s="3" t="n">
        <v>20</v>
      </c>
      <c r="S18" s="6">
        <f>IF(OR(C18="",J18="",O18=""),"",C18+J18-O18)</f>
        <v/>
      </c>
      <c r="T18" s="3" t="n">
        <v>10</v>
      </c>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DATE(2026,1,13)</f>
        <v/>
      </c>
      <c r="B19" s="6" t="n">
        <v>13</v>
      </c>
      <c r="C19" s="6">
        <f>Q18</f>
        <v/>
      </c>
      <c r="D19" s="3" t="n"/>
      <c r="E19" s="3" t="n"/>
      <c r="F19" s="3" t="n"/>
      <c r="G19" s="3" t="n"/>
      <c r="H19" s="3" t="n"/>
      <c r="I19" s="3" t="n"/>
      <c r="J19" s="6">
        <f>IF(COUNTA(D19:I19)&gt;0,SUM(D19:I19),IF(K19="", "", K19))</f>
        <v/>
      </c>
      <c r="K19" s="3" t="n">
        <v>2</v>
      </c>
      <c r="L19" s="3" t="n"/>
      <c r="M19" s="4" t="n"/>
      <c r="N19" s="3" t="n"/>
      <c r="O19" s="6">
        <f>IF(COUNTA(L19:N19)&gt;0,SUM(L19:N19),IF(P19="", "", P19))</f>
        <v/>
      </c>
      <c r="P19" s="3" t="n">
        <v>2</v>
      </c>
      <c r="Q19" s="3" t="n"/>
      <c r="R19" s="3" t="n">
        <v>20</v>
      </c>
      <c r="S19" s="6">
        <f>IF(OR(C19="",J19="",O19=""),"",C19+J19-O19)</f>
        <v/>
      </c>
      <c r="T19" s="3" t="n">
        <v>41</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DATE(2026,1,14)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v>5</v>
      </c>
      <c r="Q20" s="3" t="n"/>
      <c r="R20" s="3" t="n">
        <v>20</v>
      </c>
      <c r="S20" s="6">
        <f>IF(OR(C20="",J20="",O20=""),"",C20+J20-O20)</f>
        <v/>
      </c>
      <c r="T20" s="3" t="n">
        <v>54</v>
      </c>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DATE(2026,1,15)</f>
        <v/>
      </c>
      <c r="B21" s="6" t="n">
        <v>15</v>
      </c>
      <c r="C21" s="6">
        <f>Q20</f>
        <v/>
      </c>
      <c r="D21" s="3" t="n"/>
      <c r="E21" s="3" t="n"/>
      <c r="F21" s="3" t="n"/>
      <c r="G21" s="3" t="n"/>
      <c r="H21" s="3" t="n"/>
      <c r="I21" s="3" t="n"/>
      <c r="J21" s="6">
        <f>IF(COUNTA(D21:I21)&gt;0,SUM(D21:I21),IF(K21="", "", K21))</f>
        <v/>
      </c>
      <c r="K21" s="3" t="n">
        <v>2</v>
      </c>
      <c r="L21" s="3" t="n"/>
      <c r="M21" s="4" t="n"/>
      <c r="N21" s="3" t="n"/>
      <c r="O21" s="6">
        <f>IF(COUNTA(L21:N21)&gt;0,SUM(L21:N21),IF(P21="", "", P21))</f>
        <v/>
      </c>
      <c r="P21" s="3" t="n">
        <v>5</v>
      </c>
      <c r="Q21" s="3" t="n"/>
      <c r="R21" s="3" t="n">
        <v>20</v>
      </c>
      <c r="S21" s="6">
        <f>IF(OR(C21="",J21="",O21=""),"",C21+J21-O21)</f>
        <v/>
      </c>
      <c r="T21" s="3" t="n">
        <v>47</v>
      </c>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DATE(2026,1,16)</f>
        <v/>
      </c>
      <c r="B22" s="6" t="n">
        <v>16</v>
      </c>
      <c r="C22" s="6">
        <f>Q21</f>
        <v/>
      </c>
      <c r="D22" s="3" t="n"/>
      <c r="E22" s="3" t="n"/>
      <c r="F22" s="3" t="n"/>
      <c r="G22" s="3" t="n"/>
      <c r="H22" s="3" t="n"/>
      <c r="I22" s="3" t="n"/>
      <c r="J22" s="6">
        <f>IF(COUNTA(D22:I22)&gt;0,SUM(D22:I22),IF(K22="", "", K22))</f>
        <v/>
      </c>
      <c r="K22" s="3" t="n">
        <v>2</v>
      </c>
      <c r="L22" s="3" t="n"/>
      <c r="M22" s="4" t="n"/>
      <c r="N22" s="3" t="n"/>
      <c r="O22" s="6">
        <f>IF(COUNTA(L22:N22)&gt;0,SUM(L22:N22),IF(P22="", "", P22))</f>
        <v/>
      </c>
      <c r="P22" s="3" t="n">
        <v>4</v>
      </c>
      <c r="Q22" s="3" t="n"/>
      <c r="R22" s="3" t="n">
        <v>20</v>
      </c>
      <c r="S22" s="6">
        <f>IF(OR(C22="",J22="",O22=""),"",C22+J22-O22)</f>
        <v/>
      </c>
      <c r="T22" s="3" t="n">
        <v>43</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DATE(2026,1,17)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v>1</v>
      </c>
      <c r="Q23" s="3" t="n"/>
      <c r="R23" s="3" t="n">
        <v>20</v>
      </c>
      <c r="S23" s="6">
        <f>IF(OR(C23="",J23="",O23=""),"",C23+J23-O23)</f>
        <v/>
      </c>
      <c r="T23" s="3" t="n">
        <v>10</v>
      </c>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DATE(2026,1,18)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v>20</v>
      </c>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DATE(2026,1,19)</f>
        <v/>
      </c>
      <c r="B25" s="6" t="n">
        <v>19</v>
      </c>
      <c r="C25" s="6">
        <f>Q24</f>
        <v/>
      </c>
      <c r="D25" s="3" t="n"/>
      <c r="E25" s="3" t="n"/>
      <c r="F25" s="3" t="n"/>
      <c r="G25" s="3" t="n"/>
      <c r="H25" s="3" t="n"/>
      <c r="I25" s="3" t="n"/>
      <c r="J25" s="6">
        <f>IF(COUNTA(D25:I25)&gt;0,SUM(D25:I25),IF(K25="", "", K25))</f>
        <v/>
      </c>
      <c r="K25" s="3" t="n">
        <v>1</v>
      </c>
      <c r="L25" s="3" t="n"/>
      <c r="M25" s="4" t="n"/>
      <c r="N25" s="3" t="n"/>
      <c r="O25" s="6">
        <f>IF(COUNTA(L25:N25)&gt;0,SUM(L25:N25),IF(P25="", "", P25))</f>
        <v/>
      </c>
      <c r="P25" s="3" t="n">
        <v>1</v>
      </c>
      <c r="Q25" s="3" t="n"/>
      <c r="R25" s="3" t="n">
        <v>20</v>
      </c>
      <c r="S25" s="6">
        <f>IF(OR(C25="",J25="",O25=""),"",C25+J25-O25)</f>
        <v/>
      </c>
      <c r="T25" s="3" t="n">
        <v>16</v>
      </c>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DATE(2026,1,20)</f>
        <v/>
      </c>
      <c r="B26" s="6" t="n">
        <v>20</v>
      </c>
      <c r="C26" s="6">
        <f>Q25</f>
        <v/>
      </c>
      <c r="D26" s="3" t="n"/>
      <c r="E26" s="3" t="n"/>
      <c r="F26" s="3" t="n"/>
      <c r="G26" s="3" t="n"/>
      <c r="H26" s="3" t="n"/>
      <c r="I26" s="3" t="n"/>
      <c r="J26" s="6">
        <f>IF(COUNTA(D26:I26)&gt;0,SUM(D26:I26),IF(K26="", "", K26))</f>
        <v/>
      </c>
      <c r="K26" s="3" t="n">
        <v>3</v>
      </c>
      <c r="L26" s="3" t="n"/>
      <c r="M26" s="4" t="n"/>
      <c r="N26" s="3" t="n"/>
      <c r="O26" s="6">
        <f>IF(COUNTA(L26:N26)&gt;0,SUM(L26:N26),IF(P26="", "", P26))</f>
        <v/>
      </c>
      <c r="P26" s="3" t="n"/>
      <c r="Q26" s="3" t="n"/>
      <c r="R26" s="3" t="n">
        <v>20</v>
      </c>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DATE(2026,1,21)</f>
        <v/>
      </c>
      <c r="B27" s="6" t="n">
        <v>21</v>
      </c>
      <c r="C27" s="6">
        <f>Q26</f>
        <v/>
      </c>
      <c r="D27" s="3" t="n"/>
      <c r="E27" s="3" t="n"/>
      <c r="F27" s="3" t="n"/>
      <c r="G27" s="3" t="n"/>
      <c r="H27" s="3" t="n"/>
      <c r="I27" s="3" t="n"/>
      <c r="J27" s="6">
        <f>IF(COUNTA(D27:I27)&gt;0,SUM(D27:I27),IF(K27="", "", K27))</f>
        <v/>
      </c>
      <c r="K27" s="3" t="n">
        <v>2</v>
      </c>
      <c r="L27" s="3" t="n"/>
      <c r="M27" s="4" t="n"/>
      <c r="N27" s="3" t="n"/>
      <c r="O27" s="6">
        <f>IF(COUNTA(L27:N27)&gt;0,SUM(L27:N27),IF(P27="", "", P27))</f>
        <v/>
      </c>
      <c r="P27" s="3" t="n">
        <v>1</v>
      </c>
      <c r="Q27" s="3" t="n"/>
      <c r="R27" s="3" t="n">
        <v>20</v>
      </c>
      <c r="S27" s="6">
        <f>IF(OR(C27="",J27="",O27=""),"",C27+J27-O27)</f>
        <v/>
      </c>
      <c r="T27" s="3" t="n">
        <v>15</v>
      </c>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DATE(2026,1,22)</f>
        <v/>
      </c>
      <c r="B28" s="6" t="n">
        <v>22</v>
      </c>
      <c r="C28" s="6">
        <f>Q27</f>
        <v/>
      </c>
      <c r="D28" s="3" t="n"/>
      <c r="E28" s="3" t="n"/>
      <c r="F28" s="3" t="n"/>
      <c r="G28" s="3" t="n"/>
      <c r="H28" s="3" t="n"/>
      <c r="I28" s="3" t="n"/>
      <c r="J28" s="6">
        <f>IF(COUNTA(D28:I28)&gt;0,SUM(D28:I28),IF(K28="", "", K28))</f>
        <v/>
      </c>
      <c r="K28" s="3" t="n">
        <v>1</v>
      </c>
      <c r="L28" s="3" t="n"/>
      <c r="M28" s="4" t="n"/>
      <c r="N28" s="3" t="n"/>
      <c r="O28" s="6">
        <f>IF(COUNTA(L28:N28)&gt;0,SUM(L28:N28),IF(P28="", "", P28))</f>
        <v/>
      </c>
      <c r="P28" s="3" t="n">
        <v>1</v>
      </c>
      <c r="Q28" s="3" t="n"/>
      <c r="R28" s="3" t="n">
        <v>20</v>
      </c>
      <c r="S28" s="6">
        <f>IF(OR(C28="",J28="",O28=""),"",C28+J28-O28)</f>
        <v/>
      </c>
      <c r="T28" s="3" t="n">
        <v>8</v>
      </c>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DATE(2026,1,23)</f>
        <v/>
      </c>
      <c r="B29" s="6" t="n">
        <v>23</v>
      </c>
      <c r="C29" s="6">
        <f>Q28</f>
        <v/>
      </c>
      <c r="D29" s="3" t="n"/>
      <c r="E29" s="3" t="n"/>
      <c r="F29" s="3" t="n"/>
      <c r="G29" s="3" t="n"/>
      <c r="H29" s="3" t="n"/>
      <c r="I29" s="3" t="n"/>
      <c r="J29" s="6">
        <f>IF(COUNTA(D29:I29)&gt;0,SUM(D29:I29),IF(K29="", "", K29))</f>
        <v/>
      </c>
      <c r="K29" s="3" t="n">
        <v>1</v>
      </c>
      <c r="L29" s="3" t="n"/>
      <c r="M29" s="4" t="n"/>
      <c r="N29" s="3" t="n"/>
      <c r="O29" s="6">
        <f>IF(COUNTA(L29:N29)&gt;0,SUM(L29:N29),IF(P29="", "", P29))</f>
        <v/>
      </c>
      <c r="P29" s="3" t="n">
        <v>2</v>
      </c>
      <c r="Q29" s="3" t="n"/>
      <c r="R29" s="3" t="n">
        <v>20</v>
      </c>
      <c r="S29" s="6">
        <f>IF(OR(C29="",J29="",O29=""),"",C29+J29-O29)</f>
        <v/>
      </c>
      <c r="T29" s="3" t="n">
        <v>33</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DATE(2026,1,24)</f>
        <v/>
      </c>
      <c r="B30" s="6" t="n">
        <v>24</v>
      </c>
      <c r="C30" s="6">
        <f>Q29</f>
        <v/>
      </c>
      <c r="D30" s="3" t="n"/>
      <c r="E30" s="3" t="n"/>
      <c r="F30" s="3" t="n"/>
      <c r="G30" s="3" t="n"/>
      <c r="H30" s="3" t="n"/>
      <c r="I30" s="3" t="n"/>
      <c r="J30" s="6">
        <f>IF(COUNTA(D30:I30)&gt;0,SUM(D30:I30),IF(K30="", "", K30))</f>
        <v/>
      </c>
      <c r="K30" s="3" t="n">
        <v>1</v>
      </c>
      <c r="L30" s="3" t="n"/>
      <c r="M30" s="4" t="n"/>
      <c r="N30" s="3" t="n"/>
      <c r="O30" s="6">
        <f>IF(COUNTA(L30:N30)&gt;0,SUM(L30:N30),IF(P30="", "", P30))</f>
        <v/>
      </c>
      <c r="P30" s="3" t="n">
        <v>1</v>
      </c>
      <c r="Q30" s="3" t="n"/>
      <c r="R30" s="3" t="n">
        <v>20</v>
      </c>
      <c r="S30" s="6">
        <f>IF(OR(C30="",J30="",O30=""),"",C30+J30-O30)</f>
        <v/>
      </c>
      <c r="T30" s="3" t="n">
        <v>14</v>
      </c>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DATE(2026,1,25)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v>20</v>
      </c>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DATE(2026,1,26)</f>
        <v/>
      </c>
      <c r="B32" s="6" t="n">
        <v>26</v>
      </c>
      <c r="C32" s="6">
        <f>Q31</f>
        <v/>
      </c>
      <c r="D32" s="3" t="n"/>
      <c r="E32" s="3" t="n"/>
      <c r="F32" s="3" t="n"/>
      <c r="G32" s="3" t="n"/>
      <c r="H32" s="3" t="n"/>
      <c r="I32" s="3" t="n"/>
      <c r="J32" s="6">
        <f>IF(COUNTA(D32:I32)&gt;0,SUM(D32:I32),IF(K32="", "", K32))</f>
        <v/>
      </c>
      <c r="K32" s="3" t="n">
        <v>2</v>
      </c>
      <c r="L32" s="3" t="n"/>
      <c r="M32" s="4" t="n"/>
      <c r="N32" s="3" t="n"/>
      <c r="O32" s="6">
        <f>IF(COUNTA(L32:N32)&gt;0,SUM(L32:N32),IF(P32="", "", P32))</f>
        <v/>
      </c>
      <c r="P32" s="3" t="n">
        <v>3</v>
      </c>
      <c r="Q32" s="3" t="n"/>
      <c r="R32" s="3" t="n">
        <v>20</v>
      </c>
      <c r="S32" s="6">
        <f>IF(OR(C32="",J32="",O32=""),"",C32+J32-O32)</f>
        <v/>
      </c>
      <c r="T32" s="3" t="n">
        <v>20</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DATE(2026,1,27)</f>
        <v/>
      </c>
      <c r="B33" s="6" t="n">
        <v>27</v>
      </c>
      <c r="C33" s="6">
        <f>Q32</f>
        <v/>
      </c>
      <c r="D33" s="3" t="n"/>
      <c r="E33" s="3" t="n"/>
      <c r="F33" s="3" t="n"/>
      <c r="G33" s="3" t="n"/>
      <c r="H33" s="3" t="n"/>
      <c r="I33" s="3" t="n"/>
      <c r="J33" s="6">
        <f>IF(COUNTA(D33:I33)&gt;0,SUM(D33:I33),IF(K33="", "", K33))</f>
        <v/>
      </c>
      <c r="K33" s="3" t="n">
        <v>2</v>
      </c>
      <c r="L33" s="3" t="n"/>
      <c r="M33" s="4" t="n"/>
      <c r="N33" s="3" t="n"/>
      <c r="O33" s="6">
        <f>IF(COUNTA(L33:N33)&gt;0,SUM(L33:N33),IF(P33="", "", P33))</f>
        <v/>
      </c>
      <c r="P33" s="3" t="n">
        <v>4</v>
      </c>
      <c r="Q33" s="3" t="n"/>
      <c r="R33" s="3" t="n">
        <v>20</v>
      </c>
      <c r="S33" s="6">
        <f>IF(OR(C33="",J33="",O33=""),"",C33+J33-O33)</f>
        <v/>
      </c>
      <c r="T33" s="3" t="n">
        <v>46</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DATE(2026,1,28)</f>
        <v/>
      </c>
      <c r="B34" s="6" t="n">
        <v>28</v>
      </c>
      <c r="C34" s="6">
        <f>Q33</f>
        <v/>
      </c>
      <c r="D34" s="3" t="n"/>
      <c r="E34" s="3" t="n"/>
      <c r="F34" s="3" t="n"/>
      <c r="G34" s="3" t="n"/>
      <c r="H34" s="3" t="n"/>
      <c r="I34" s="3" t="n"/>
      <c r="J34" s="6">
        <f>IF(COUNTA(D34:I34)&gt;0,SUM(D34:I34),IF(K34="", "", K34))</f>
        <v/>
      </c>
      <c r="K34" s="3" t="n">
        <v>4</v>
      </c>
      <c r="L34" s="3" t="n"/>
      <c r="M34" s="4" t="n"/>
      <c r="N34" s="3" t="n"/>
      <c r="O34" s="6">
        <f>IF(COUNTA(L34:N34)&gt;0,SUM(L34:N34),IF(P34="", "", P34))</f>
        <v/>
      </c>
      <c r="P34" s="3" t="n">
        <v>2</v>
      </c>
      <c r="Q34" s="3" t="n"/>
      <c r="R34" s="3" t="n">
        <v>20</v>
      </c>
      <c r="S34" s="6">
        <f>IF(OR(C34="",J34="",O34=""),"",C34+J34-O34)</f>
        <v/>
      </c>
      <c r="T34" s="3" t="n">
        <v>30</v>
      </c>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DATE(2026,1,29)</f>
        <v/>
      </c>
      <c r="B35" s="6" t="n">
        <v>29</v>
      </c>
      <c r="C35" s="6">
        <f>Q34</f>
        <v/>
      </c>
      <c r="D35" s="3" t="n"/>
      <c r="E35" s="3" t="n"/>
      <c r="F35" s="3" t="n"/>
      <c r="G35" s="3" t="n"/>
      <c r="H35" s="3" t="n"/>
      <c r="I35" s="3" t="n"/>
      <c r="J35" s="6">
        <f>IF(COUNTA(D35:I35)&gt;0,SUM(D35:I35),IF(K35="", "", K35))</f>
        <v/>
      </c>
      <c r="K35" s="3" t="n">
        <v>2</v>
      </c>
      <c r="L35" s="3" t="n"/>
      <c r="M35" s="4" t="n"/>
      <c r="N35" s="3" t="n"/>
      <c r="O35" s="6">
        <f>IF(COUNTA(L35:N35)&gt;0,SUM(L35:N35),IF(P35="", "", P35))</f>
        <v/>
      </c>
      <c r="P35" s="3" t="n"/>
      <c r="Q35" s="3" t="n"/>
      <c r="R35" s="3" t="n">
        <v>20</v>
      </c>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DATE(2026,1,30)</f>
        <v/>
      </c>
      <c r="B36" s="6" t="n">
        <v>30</v>
      </c>
      <c r="C36" s="6">
        <f>Q35</f>
        <v/>
      </c>
      <c r="D36" s="3" t="n"/>
      <c r="E36" s="3" t="n"/>
      <c r="F36" s="3" t="n"/>
      <c r="G36" s="3" t="n"/>
      <c r="H36" s="3" t="n"/>
      <c r="I36" s="3" t="n"/>
      <c r="J36" s="6">
        <f>IF(COUNTA(D36:I36)&gt;0,SUM(D36:I36),IF(K36="", "", K36))</f>
        <v/>
      </c>
      <c r="K36" s="3" t="n">
        <v>1</v>
      </c>
      <c r="L36" s="3" t="n"/>
      <c r="M36" s="4" t="n"/>
      <c r="N36" s="3" t="n"/>
      <c r="O36" s="6">
        <f>IF(COUNTA(L36:N36)&gt;0,SUM(L36:N36),IF(P36="", "", P36))</f>
        <v/>
      </c>
      <c r="P36" s="3" t="n">
        <v>1</v>
      </c>
      <c r="Q36" s="3" t="n"/>
      <c r="R36" s="3" t="n">
        <v>20</v>
      </c>
      <c r="S36" s="6">
        <f>IF(OR(C36="",J36="",O36=""),"",C36+J36-O36)</f>
        <v/>
      </c>
      <c r="T36" s="3" t="n">
        <v>3</v>
      </c>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DATE(2026,1,31)</f>
        <v/>
      </c>
      <c r="B37" s="6" t="n">
        <v>31</v>
      </c>
      <c r="C37" s="6">
        <f>Q36</f>
        <v/>
      </c>
      <c r="D37" s="3" t="n"/>
      <c r="E37" s="3" t="n"/>
      <c r="F37" s="3" t="n"/>
      <c r="G37" s="3" t="n"/>
      <c r="H37" s="3" t="n"/>
      <c r="I37" s="3" t="n"/>
      <c r="J37" s="6">
        <f>IF(COUNTA(D37:I37)&gt;0,SUM(D37:I37),IF(K37="", "", K37))</f>
        <v/>
      </c>
      <c r="K37" s="3" t="n">
        <v>1</v>
      </c>
      <c r="L37" s="3" t="n"/>
      <c r="M37" s="4" t="n"/>
      <c r="N37" s="3" t="n"/>
      <c r="O37" s="6">
        <f>IF(COUNTA(L37:N37)&gt;0,SUM(L37:N37),IF(P37="", "", P37))</f>
        <v/>
      </c>
      <c r="P37" s="3" t="n">
        <v>1</v>
      </c>
      <c r="Q37" s="3" t="n"/>
      <c r="R37" s="3" t="n">
        <v>20</v>
      </c>
      <c r="S37" s="6">
        <f>IF(OR(C37="",J37="",O37=""),"",C37+J37-O37)</f>
        <v/>
      </c>
      <c r="T37" s="3" t="n">
        <v>5</v>
      </c>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52"/>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FEBRERO 2026</t>
        </is>
      </c>
    </row>
    <row r="2">
      <c r="A2" s="2" t="inlineStr">
        <is>
          <t>Servicio</t>
        </is>
      </c>
      <c r="B2" s="6">
        <f>01_PARAMETROS!B3</f>
        <v/>
      </c>
      <c r="C2" s="2" t="inlineStr">
        <is>
          <t>Codigo</t>
        </is>
      </c>
      <c r="D2" s="6">
        <f>01_PARAMETROS!B4</f>
        <v/>
      </c>
      <c r="E2" s="2" t="inlineStr">
        <is>
          <t>Mes</t>
        </is>
      </c>
      <c r="F2" s="3" t="inlineStr">
        <is>
          <t>FEBRERO</t>
        </is>
      </c>
      <c r="G2" s="2" t="inlineStr">
        <is>
          <t>Ano</t>
        </is>
      </c>
      <c r="H2" s="3" t="n">
        <v>2026</v>
      </c>
      <c r="I2" s="2" t="inlineStr">
        <is>
          <t>Camas base</t>
        </is>
      </c>
      <c r="J2" s="6">
        <f>01_PARAMETROS!B5</f>
        <v/>
      </c>
      <c r="K2" s="2" t="inlineStr">
        <is>
          <t>Dias del mes</t>
        </is>
      </c>
      <c r="L2" s="3" t="n">
        <v>28</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DATE(2026,2,1)</f>
        <v/>
      </c>
      <c r="B7" s="6" t="n">
        <v>1</v>
      </c>
      <c r="C7" s="3" t="n">
        <v>13</v>
      </c>
      <c r="D7" s="3" t="n"/>
      <c r="E7" s="3" t="n"/>
      <c r="F7" s="3" t="n"/>
      <c r="G7" s="3" t="n"/>
      <c r="H7" s="3" t="n"/>
      <c r="I7" s="3" t="n"/>
      <c r="J7" s="6">
        <f>IF(COUNTA(D7:I7)&gt;0,SUM(D7:I7),IF(K7="", "", K7))</f>
        <v/>
      </c>
      <c r="K7" s="3" t="n"/>
      <c r="L7" s="3" t="n"/>
      <c r="M7" s="4" t="n"/>
      <c r="N7" s="3" t="n"/>
      <c r="O7" s="6">
        <f>IF(COUNTA(L7:N7)&gt;0,SUM(L7:N7),IF(P7="", "", P7))</f>
        <v/>
      </c>
      <c r="P7" s="3" t="n">
        <v>1</v>
      </c>
      <c r="Q7" s="3" t="n"/>
      <c r="R7" s="3" t="n">
        <v>20</v>
      </c>
      <c r="S7" s="6">
        <f>IF(OR(C7="",J7="",O7=""),"",C7+J7-O7)</f>
        <v/>
      </c>
      <c r="T7" s="3" t="n">
        <v>4</v>
      </c>
      <c r="U7" s="3" t="n"/>
      <c r="V7" s="3" t="n"/>
      <c r="W7" s="6">
        <f>IF(Z7=1,"FALTAN DATOS",IF(S7&lt;0,"OCUPACION NEGATIVA",IF(X7=1,"SOBREOCUPACION",IF(Y7&lt;&gt;0,"BALANCE RARO","OK"))))</f>
        <v/>
      </c>
      <c r="X7" s="6">
        <f>IF(AND(R7&lt;&gt;"",S7&gt;R7),1,0)</f>
        <v/>
      </c>
      <c r="Y7" s="6">
        <f>IF(OR(C7="",J7="",O7="",S7=""),"",C7+J7-O7-S7)</f>
        <v/>
      </c>
      <c r="Z7" s="6">
        <f>IF(OR(R7="",A7="",B7="",C7="",J7="",O7=""),1,0)</f>
        <v/>
      </c>
    </row>
    <row r="8">
      <c r="A8" s="6">
        <f>DATE(2026,2,2)</f>
        <v/>
      </c>
      <c r="B8" s="6" t="n">
        <v>2</v>
      </c>
      <c r="C8" s="6">
        <f>Q7</f>
        <v/>
      </c>
      <c r="D8" s="3" t="n"/>
      <c r="E8" s="3" t="n"/>
      <c r="F8" s="3" t="n"/>
      <c r="G8" s="3" t="n"/>
      <c r="H8" s="3" t="n"/>
      <c r="I8" s="3" t="n"/>
      <c r="J8" s="6">
        <f>IF(COUNTA(D8:I8)&gt;0,SUM(D8:I8),IF(K8="", "", K8))</f>
        <v/>
      </c>
      <c r="K8" s="3" t="n">
        <v>2</v>
      </c>
      <c r="L8" s="3" t="n"/>
      <c r="M8" s="4" t="n"/>
      <c r="N8" s="3" t="n"/>
      <c r="O8" s="6">
        <f>IF(COUNTA(L8:N8)&gt;0,SUM(L8:N8),IF(P8="", "", P8))</f>
        <v/>
      </c>
      <c r="P8" s="3" t="n"/>
      <c r="Q8" s="3" t="n"/>
      <c r="R8" s="3" t="n">
        <v>20</v>
      </c>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DATE(2026,2,3)</f>
        <v/>
      </c>
      <c r="B9" s="6" t="n">
        <v>3</v>
      </c>
      <c r="C9" s="6">
        <f>Q8</f>
        <v/>
      </c>
      <c r="D9" s="3" t="n"/>
      <c r="E9" s="3" t="n"/>
      <c r="F9" s="3" t="n"/>
      <c r="G9" s="3" t="n"/>
      <c r="H9" s="3" t="n"/>
      <c r="I9" s="3" t="n"/>
      <c r="J9" s="6">
        <f>IF(COUNTA(D9:I9)&gt;0,SUM(D9:I9),IF(K9="", "", K9))</f>
        <v/>
      </c>
      <c r="K9" s="3" t="n">
        <v>1</v>
      </c>
      <c r="L9" s="3" t="n"/>
      <c r="M9" s="4" t="n"/>
      <c r="N9" s="3" t="n"/>
      <c r="O9" s="6">
        <f>IF(COUNTA(L9:N9)&gt;0,SUM(L9:N9),IF(P9="", "", P9))</f>
        <v/>
      </c>
      <c r="P9" s="3" t="n"/>
      <c r="Q9" s="3" t="n"/>
      <c r="R9" s="3" t="n">
        <v>20</v>
      </c>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DATE(2026,2,4)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v>3</v>
      </c>
      <c r="Q10" s="3" t="n"/>
      <c r="R10" s="3" t="n">
        <v>20</v>
      </c>
      <c r="S10" s="6">
        <f>IF(OR(C10="",J10="",O10=""),"",C10+J10-O10)</f>
        <v/>
      </c>
      <c r="T10" s="3" t="n">
        <v>30</v>
      </c>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DATE(2026,2,5)</f>
        <v/>
      </c>
      <c r="B11" s="6" t="n">
        <v>5</v>
      </c>
      <c r="C11" s="6">
        <f>Q10</f>
        <v/>
      </c>
      <c r="D11" s="3" t="n"/>
      <c r="E11" s="3" t="n"/>
      <c r="F11" s="3" t="n"/>
      <c r="G11" s="3" t="n"/>
      <c r="H11" s="3" t="n"/>
      <c r="I11" s="3" t="n"/>
      <c r="J11" s="6">
        <f>IF(COUNTA(D11:I11)&gt;0,SUM(D11:I11),IF(K11="", "", K11))</f>
        <v/>
      </c>
      <c r="K11" s="3" t="n">
        <v>2</v>
      </c>
      <c r="L11" s="3" t="n"/>
      <c r="M11" s="4" t="n"/>
      <c r="N11" s="3" t="n"/>
      <c r="O11" s="6">
        <f>IF(COUNTA(L11:N11)&gt;0,SUM(L11:N11),IF(P11="", "", P11))</f>
        <v/>
      </c>
      <c r="P11" s="3" t="n">
        <v>2</v>
      </c>
      <c r="Q11" s="3" t="n"/>
      <c r="R11" s="3" t="n">
        <v>20</v>
      </c>
      <c r="S11" s="6">
        <f>IF(OR(C11="",J11="",O11=""),"",C11+J11-O11)</f>
        <v/>
      </c>
      <c r="T11" s="3" t="n">
        <v>32</v>
      </c>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DATE(2026,2,6)</f>
        <v/>
      </c>
      <c r="B12" s="6" t="n">
        <v>6</v>
      </c>
      <c r="C12" s="6">
        <f>Q11</f>
        <v/>
      </c>
      <c r="D12" s="3" t="n"/>
      <c r="E12" s="3" t="n"/>
      <c r="F12" s="3" t="n"/>
      <c r="G12" s="3" t="n"/>
      <c r="H12" s="3" t="n"/>
      <c r="I12" s="3" t="n"/>
      <c r="J12" s="6">
        <f>IF(COUNTA(D12:I12)&gt;0,SUM(D12:I12),IF(K12="", "", K12))</f>
        <v/>
      </c>
      <c r="K12" s="3" t="n">
        <v>8</v>
      </c>
      <c r="L12" s="3" t="n"/>
      <c r="M12" s="4" t="n"/>
      <c r="N12" s="3" t="n"/>
      <c r="O12" s="6">
        <f>IF(COUNTA(L12:N12)&gt;0,SUM(L12:N12),IF(P12="", "", P12))</f>
        <v/>
      </c>
      <c r="P12" s="3" t="n">
        <v>1</v>
      </c>
      <c r="Q12" s="3" t="n"/>
      <c r="R12" s="3" t="n">
        <v>20</v>
      </c>
      <c r="S12" s="6">
        <f>IF(OR(C12="",J12="",O12=""),"",C12+J12-O12)</f>
        <v/>
      </c>
      <c r="T12" s="3" t="n">
        <v>16</v>
      </c>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DATE(2026,2,7)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v>20</v>
      </c>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DATE(2026,2,8)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v>20</v>
      </c>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DATE(2026,2,9)</f>
        <v/>
      </c>
      <c r="B15" s="6" t="n">
        <v>9</v>
      </c>
      <c r="C15" s="6">
        <f>Q14</f>
        <v/>
      </c>
      <c r="D15" s="3" t="n"/>
      <c r="E15" s="3" t="n"/>
      <c r="F15" s="3" t="n"/>
      <c r="G15" s="3" t="n"/>
      <c r="H15" s="3" t="n"/>
      <c r="I15" s="3" t="n"/>
      <c r="J15" s="6">
        <f>IF(COUNTA(D15:I15)&gt;0,SUM(D15:I15),IF(K15="", "", K15))</f>
        <v/>
      </c>
      <c r="K15" s="3" t="n">
        <v>1</v>
      </c>
      <c r="L15" s="3" t="n"/>
      <c r="M15" s="4" t="n"/>
      <c r="N15" s="3" t="n"/>
      <c r="O15" s="6">
        <f>IF(COUNTA(L15:N15)&gt;0,SUM(L15:N15),IF(P15="", "", P15))</f>
        <v/>
      </c>
      <c r="P15" s="3" t="n">
        <v>8</v>
      </c>
      <c r="Q15" s="3" t="n"/>
      <c r="R15" s="3" t="n">
        <v>20</v>
      </c>
      <c r="S15" s="6">
        <f>IF(OR(C15="",J15="",O15=""),"",C15+J15-O15)</f>
        <v/>
      </c>
      <c r="T15" s="3" t="n">
        <v>160</v>
      </c>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DATE(2026,2,10)</f>
        <v/>
      </c>
      <c r="B16" s="6" t="n">
        <v>10</v>
      </c>
      <c r="C16" s="6">
        <f>Q15</f>
        <v/>
      </c>
      <c r="D16" s="3" t="n"/>
      <c r="E16" s="3" t="n"/>
      <c r="F16" s="3" t="n"/>
      <c r="G16" s="3" t="n"/>
      <c r="H16" s="3" t="n"/>
      <c r="I16" s="3" t="n"/>
      <c r="J16" s="6">
        <f>IF(COUNTA(D16:I16)&gt;0,SUM(D16:I16),IF(K16="", "", K16))</f>
        <v/>
      </c>
      <c r="K16" s="3" t="n">
        <v>2</v>
      </c>
      <c r="L16" s="3" t="n"/>
      <c r="M16" s="4" t="n"/>
      <c r="N16" s="3" t="n"/>
      <c r="O16" s="6">
        <f>IF(COUNTA(L16:N16)&gt;0,SUM(L16:N16),IF(P16="", "", P16))</f>
        <v/>
      </c>
      <c r="P16" s="3" t="n">
        <v>2</v>
      </c>
      <c r="Q16" s="3" t="n"/>
      <c r="R16" s="3" t="n">
        <v>20</v>
      </c>
      <c r="S16" s="6">
        <f>IF(OR(C16="",J16="",O16=""),"",C16+J16-O16)</f>
        <v/>
      </c>
      <c r="T16" s="3" t="n">
        <v>42</v>
      </c>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DATE(2026,2,11)</f>
        <v/>
      </c>
      <c r="B17" s="6" t="n">
        <v>11</v>
      </c>
      <c r="C17" s="6">
        <f>Q16</f>
        <v/>
      </c>
      <c r="D17" s="3" t="n"/>
      <c r="E17" s="3" t="n"/>
      <c r="F17" s="3" t="n"/>
      <c r="G17" s="3" t="n"/>
      <c r="H17" s="3" t="n"/>
      <c r="I17" s="3" t="n"/>
      <c r="J17" s="6">
        <f>IF(COUNTA(D17:I17)&gt;0,SUM(D17:I17),IF(K17="", "", K17))</f>
        <v/>
      </c>
      <c r="K17" s="3" t="n">
        <v>2</v>
      </c>
      <c r="L17" s="3" t="n"/>
      <c r="M17" s="4" t="n"/>
      <c r="N17" s="3" t="n"/>
      <c r="O17" s="6">
        <f>IF(COUNTA(L17:N17)&gt;0,SUM(L17:N17),IF(P17="", "", P17))</f>
        <v/>
      </c>
      <c r="P17" s="3" t="n">
        <v>4</v>
      </c>
      <c r="Q17" s="3" t="n"/>
      <c r="R17" s="3" t="n">
        <v>20</v>
      </c>
      <c r="S17" s="6">
        <f>IF(OR(C17="",J17="",O17=""),"",C17+J17-O17)</f>
        <v/>
      </c>
      <c r="T17" s="3" t="n">
        <v>31</v>
      </c>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DATE(2026,2,12)</f>
        <v/>
      </c>
      <c r="B18" s="6" t="n">
        <v>12</v>
      </c>
      <c r="C18" s="6">
        <f>Q17</f>
        <v/>
      </c>
      <c r="D18" s="3" t="n"/>
      <c r="E18" s="3" t="n"/>
      <c r="F18" s="3" t="n"/>
      <c r="G18" s="3" t="n"/>
      <c r="H18" s="3" t="n"/>
      <c r="I18" s="3" t="n"/>
      <c r="J18" s="6">
        <f>IF(COUNTA(D18:I18)&gt;0,SUM(D18:I18),IF(K18="", "", K18))</f>
        <v/>
      </c>
      <c r="K18" s="3" t="n">
        <v>3</v>
      </c>
      <c r="L18" s="3" t="n"/>
      <c r="M18" s="4" t="n"/>
      <c r="N18" s="3" t="n"/>
      <c r="O18" s="6">
        <f>IF(COUNTA(L18:N18)&gt;0,SUM(L18:N18),IF(P18="", "", P18))</f>
        <v/>
      </c>
      <c r="P18" s="3" t="n"/>
      <c r="Q18" s="3" t="n"/>
      <c r="R18" s="3" t="n">
        <v>20</v>
      </c>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DATE(2026,2,13)</f>
        <v/>
      </c>
      <c r="B19" s="6" t="n">
        <v>13</v>
      </c>
      <c r="C19" s="6">
        <f>Q18</f>
        <v/>
      </c>
      <c r="D19" s="3" t="n"/>
      <c r="E19" s="3" t="n"/>
      <c r="F19" s="3" t="n"/>
      <c r="G19" s="3" t="n"/>
      <c r="H19" s="3" t="n"/>
      <c r="I19" s="3" t="n"/>
      <c r="J19" s="6">
        <f>IF(COUNTA(D19:I19)&gt;0,SUM(D19:I19),IF(K19="", "", K19))</f>
        <v/>
      </c>
      <c r="K19" s="3" t="n">
        <v>3</v>
      </c>
      <c r="L19" s="3" t="n"/>
      <c r="M19" s="4" t="n"/>
      <c r="N19" s="3" t="n"/>
      <c r="O19" s="6">
        <f>IF(COUNTA(L19:N19)&gt;0,SUM(L19:N19),IF(P19="", "", P19))</f>
        <v/>
      </c>
      <c r="P19" s="3" t="n">
        <v>1</v>
      </c>
      <c r="Q19" s="3" t="n"/>
      <c r="R19" s="3" t="n">
        <v>20</v>
      </c>
      <c r="S19" s="6">
        <f>IF(OR(C19="",J19="",O19=""),"",C19+J19-O19)</f>
        <v/>
      </c>
      <c r="T19" s="3" t="n">
        <v>17</v>
      </c>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DATE(2026,2,14)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v>20</v>
      </c>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DATE(2026,2,15)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v>20</v>
      </c>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DATE(2026,2,16)</f>
        <v/>
      </c>
      <c r="B22" s="6" t="n">
        <v>16</v>
      </c>
      <c r="C22" s="6">
        <f>Q21</f>
        <v/>
      </c>
      <c r="D22" s="3" t="n"/>
      <c r="E22" s="3" t="n"/>
      <c r="F22" s="3" t="n"/>
      <c r="G22" s="3" t="n"/>
      <c r="H22" s="3" t="n"/>
      <c r="I22" s="3" t="n"/>
      <c r="J22" s="6">
        <f>IF(COUNTA(D22:I22)&gt;0,SUM(D22:I22),IF(K22="", "", K22))</f>
        <v/>
      </c>
      <c r="K22" s="3" t="n">
        <v>5</v>
      </c>
      <c r="L22" s="3" t="n"/>
      <c r="M22" s="4" t="n"/>
      <c r="N22" s="3" t="n"/>
      <c r="O22" s="6">
        <f>IF(COUNTA(L22:N22)&gt;0,SUM(L22:N22),IF(P22="", "", P22))</f>
        <v/>
      </c>
      <c r="P22" s="3" t="n">
        <v>5</v>
      </c>
      <c r="Q22" s="3" t="n"/>
      <c r="R22" s="3" t="n">
        <v>20</v>
      </c>
      <c r="S22" s="6">
        <f>IF(OR(C22="",J22="",O22=""),"",C22+J22-O22)</f>
        <v/>
      </c>
      <c r="T22" s="3" t="n">
        <v>44</v>
      </c>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DATE(2026,2,17)</f>
        <v/>
      </c>
      <c r="B23" s="6" t="n">
        <v>17</v>
      </c>
      <c r="C23" s="6">
        <f>Q22</f>
        <v/>
      </c>
      <c r="D23" s="3" t="n"/>
      <c r="E23" s="3" t="n"/>
      <c r="F23" s="3" t="n"/>
      <c r="G23" s="3" t="n"/>
      <c r="H23" s="3" t="n"/>
      <c r="I23" s="3" t="n"/>
      <c r="J23" s="6">
        <f>IF(COUNTA(D23:I23)&gt;0,SUM(D23:I23),IF(K23="", "", K23))</f>
        <v/>
      </c>
      <c r="K23" s="3" t="n">
        <v>1</v>
      </c>
      <c r="L23" s="3" t="n"/>
      <c r="M23" s="4" t="n"/>
      <c r="N23" s="3" t="n"/>
      <c r="O23" s="6">
        <f>IF(COUNTA(L23:N23)&gt;0,SUM(L23:N23),IF(P23="", "", P23))</f>
        <v/>
      </c>
      <c r="P23" s="3" t="n"/>
      <c r="Q23" s="3" t="n"/>
      <c r="R23" s="3" t="n">
        <v>20</v>
      </c>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DATE(2026,2,18)</f>
        <v/>
      </c>
      <c r="B24" s="6" t="n">
        <v>18</v>
      </c>
      <c r="C24" s="6">
        <f>Q23</f>
        <v/>
      </c>
      <c r="D24" s="3" t="n"/>
      <c r="E24" s="3" t="n"/>
      <c r="F24" s="3" t="n"/>
      <c r="G24" s="3" t="n"/>
      <c r="H24" s="3" t="n"/>
      <c r="I24" s="3" t="n"/>
      <c r="J24" s="6">
        <f>IF(COUNTA(D24:I24)&gt;0,SUM(D24:I24),IF(K24="", "", K24))</f>
        <v/>
      </c>
      <c r="K24" s="3" t="n">
        <v>3</v>
      </c>
      <c r="L24" s="3" t="n"/>
      <c r="M24" s="4" t="n"/>
      <c r="N24" s="3" t="n"/>
      <c r="O24" s="6">
        <f>IF(COUNTA(L24:N24)&gt;0,SUM(L24:N24),IF(P24="", "", P24))</f>
        <v/>
      </c>
      <c r="P24" s="3" t="n"/>
      <c r="Q24" s="3" t="n"/>
      <c r="R24" s="3" t="n">
        <v>20</v>
      </c>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DATE(2026,2,19)</f>
        <v/>
      </c>
      <c r="B25" s="6" t="n">
        <v>19</v>
      </c>
      <c r="C25" s="6">
        <f>Q24</f>
        <v/>
      </c>
      <c r="D25" s="3" t="n"/>
      <c r="E25" s="3" t="n"/>
      <c r="F25" s="3" t="n"/>
      <c r="G25" s="3" t="n"/>
      <c r="H25" s="3" t="n"/>
      <c r="I25" s="3" t="n"/>
      <c r="J25" s="6">
        <f>IF(COUNTA(D25:I25)&gt;0,SUM(D25:I25),IF(K25="", "", K25))</f>
        <v/>
      </c>
      <c r="K25" s="3" t="n">
        <v>2</v>
      </c>
      <c r="L25" s="3" t="n"/>
      <c r="M25" s="4" t="n"/>
      <c r="N25" s="3" t="n"/>
      <c r="O25" s="6">
        <f>IF(COUNTA(L25:N25)&gt;0,SUM(L25:N25),IF(P25="", "", P25))</f>
        <v/>
      </c>
      <c r="P25" s="3" t="n">
        <v>3</v>
      </c>
      <c r="Q25" s="3" t="n"/>
      <c r="R25" s="3" t="n">
        <v>20</v>
      </c>
      <c r="S25" s="6">
        <f>IF(OR(C25="",J25="",O25=""),"",C25+J25-O25)</f>
        <v/>
      </c>
      <c r="T25" s="3" t="n">
        <v>27</v>
      </c>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DATE(2026,2,20)</f>
        <v/>
      </c>
      <c r="B26" s="6" t="n">
        <v>20</v>
      </c>
      <c r="C26" s="6">
        <f>Q25</f>
        <v/>
      </c>
      <c r="D26" s="3" t="n"/>
      <c r="E26" s="3" t="n"/>
      <c r="F26" s="3" t="n"/>
      <c r="G26" s="3" t="n"/>
      <c r="H26" s="3" t="n"/>
      <c r="I26" s="3" t="n"/>
      <c r="J26" s="6">
        <f>IF(COUNTA(D26:I26)&gt;0,SUM(D26:I26),IF(K26="", "", K26))</f>
        <v/>
      </c>
      <c r="K26" s="3" t="n">
        <v>1</v>
      </c>
      <c r="L26" s="3" t="n"/>
      <c r="M26" s="4" t="n"/>
      <c r="N26" s="3" t="n"/>
      <c r="O26" s="6">
        <f>IF(COUNTA(L26:N26)&gt;0,SUM(L26:N26),IF(P26="", "", P26))</f>
        <v/>
      </c>
      <c r="P26" s="3" t="n">
        <v>4</v>
      </c>
      <c r="Q26" s="3" t="n"/>
      <c r="R26" s="3" t="n">
        <v>20</v>
      </c>
      <c r="S26" s="6">
        <f>IF(OR(C26="",J26="",O26=""),"",C26+J26-O26)</f>
        <v/>
      </c>
      <c r="T26" s="3" t="n">
        <v>34</v>
      </c>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DATE(2026,2,21)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v>20</v>
      </c>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DATE(2026,2,22)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v>20</v>
      </c>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DATE(2026,2,23)</f>
        <v/>
      </c>
      <c r="B29" s="6" t="n">
        <v>23</v>
      </c>
      <c r="C29" s="6">
        <f>Q28</f>
        <v/>
      </c>
      <c r="D29" s="3" t="n"/>
      <c r="E29" s="3" t="n"/>
      <c r="F29" s="3" t="n"/>
      <c r="G29" s="3" t="n"/>
      <c r="H29" s="3" t="n"/>
      <c r="I29" s="3" t="n"/>
      <c r="J29" s="6">
        <f>IF(COUNTA(D29:I29)&gt;0,SUM(D29:I29),IF(K29="", "", K29))</f>
        <v/>
      </c>
      <c r="K29" s="3" t="n">
        <v>3</v>
      </c>
      <c r="L29" s="3" t="n"/>
      <c r="M29" s="4" t="n"/>
      <c r="N29" s="3" t="n"/>
      <c r="O29" s="6">
        <f>IF(COUNTA(L29:N29)&gt;0,SUM(L29:N29),IF(P29="", "", P29))</f>
        <v/>
      </c>
      <c r="P29" s="3" t="n">
        <v>4</v>
      </c>
      <c r="Q29" s="3" t="n"/>
      <c r="R29" s="3" t="n">
        <v>20</v>
      </c>
      <c r="S29" s="6">
        <f>IF(OR(C29="",J29="",O29=""),"",C29+J29-O29)</f>
        <v/>
      </c>
      <c r="T29" s="3" t="n">
        <v>48</v>
      </c>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DATE(2026,2,24)</f>
        <v/>
      </c>
      <c r="B30" s="6" t="n">
        <v>24</v>
      </c>
      <c r="C30" s="6">
        <f>Q29</f>
        <v/>
      </c>
      <c r="D30" s="3" t="n"/>
      <c r="E30" s="3" t="n"/>
      <c r="F30" s="3" t="n"/>
      <c r="G30" s="3" t="n"/>
      <c r="H30" s="3" t="n"/>
      <c r="I30" s="3" t="n"/>
      <c r="J30" s="6">
        <f>IF(COUNTA(D30:I30)&gt;0,SUM(D30:I30),IF(K30="", "", K30))</f>
        <v/>
      </c>
      <c r="K30" s="3" t="n">
        <v>2</v>
      </c>
      <c r="L30" s="3" t="n"/>
      <c r="M30" s="4" t="n"/>
      <c r="N30" s="3" t="n"/>
      <c r="O30" s="6">
        <f>IF(COUNTA(L30:N30)&gt;0,SUM(L30:N30),IF(P30="", "", P30))</f>
        <v/>
      </c>
      <c r="P30" s="3" t="n"/>
      <c r="Q30" s="3" t="n"/>
      <c r="R30" s="3" t="n">
        <v>20</v>
      </c>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DATE(2026,2,25)</f>
        <v/>
      </c>
      <c r="B31" s="6" t="n">
        <v>25</v>
      </c>
      <c r="C31" s="6">
        <f>Q30</f>
        <v/>
      </c>
      <c r="D31" s="3" t="n"/>
      <c r="E31" s="3" t="n"/>
      <c r="F31" s="3" t="n"/>
      <c r="G31" s="3" t="n"/>
      <c r="H31" s="3" t="n"/>
      <c r="I31" s="3" t="n"/>
      <c r="J31" s="6">
        <f>IF(COUNTA(D31:I31)&gt;0,SUM(D31:I31),IF(K31="", "", K31))</f>
        <v/>
      </c>
      <c r="K31" s="3" t="n">
        <v>1</v>
      </c>
      <c r="L31" s="3" t="n"/>
      <c r="M31" s="4" t="n"/>
      <c r="N31" s="3" t="n"/>
      <c r="O31" s="6">
        <f>IF(COUNTA(L31:N31)&gt;0,SUM(L31:N31),IF(P31="", "", P31))</f>
        <v/>
      </c>
      <c r="P31" s="3" t="n">
        <v>4</v>
      </c>
      <c r="Q31" s="3" t="n"/>
      <c r="R31" s="3" t="n">
        <v>20</v>
      </c>
      <c r="S31" s="6">
        <f>IF(OR(C31="",J31="",O31=""),"",C31+J31-O31)</f>
        <v/>
      </c>
      <c r="T31" s="3" t="n">
        <v>62</v>
      </c>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DATE(2026,2,26)</f>
        <v/>
      </c>
      <c r="B32" s="6" t="n">
        <v>26</v>
      </c>
      <c r="C32" s="6">
        <f>Q31</f>
        <v/>
      </c>
      <c r="D32" s="3" t="n"/>
      <c r="E32" s="3" t="n"/>
      <c r="F32" s="3" t="n"/>
      <c r="G32" s="3" t="n"/>
      <c r="H32" s="3" t="n"/>
      <c r="I32" s="3" t="n"/>
      <c r="J32" s="6">
        <f>IF(COUNTA(D32:I32)&gt;0,SUM(D32:I32),IF(K32="", "", K32))</f>
        <v/>
      </c>
      <c r="K32" s="3" t="n">
        <v>2</v>
      </c>
      <c r="L32" s="3" t="n"/>
      <c r="M32" s="4" t="n"/>
      <c r="N32" s="3" t="n"/>
      <c r="O32" s="6">
        <f>IF(COUNTA(L32:N32)&gt;0,SUM(L32:N32),IF(P32="", "", P32))</f>
        <v/>
      </c>
      <c r="P32" s="3" t="n">
        <v>1</v>
      </c>
      <c r="Q32" s="3" t="n"/>
      <c r="R32" s="3" t="n">
        <v>20</v>
      </c>
      <c r="S32" s="6">
        <f>IF(OR(C32="",J32="",O32=""),"",C32+J32-O32)</f>
        <v/>
      </c>
      <c r="T32" s="3" t="n">
        <v>11</v>
      </c>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DATE(2026,2,27)</f>
        <v/>
      </c>
      <c r="B33" s="6" t="n">
        <v>27</v>
      </c>
      <c r="C33" s="6">
        <f>Q32</f>
        <v/>
      </c>
      <c r="D33" s="3" t="n"/>
      <c r="E33" s="3" t="n"/>
      <c r="F33" s="3" t="n"/>
      <c r="G33" s="3" t="n"/>
      <c r="H33" s="3" t="n"/>
      <c r="I33" s="3" t="n"/>
      <c r="J33" s="6">
        <f>IF(COUNTA(D33:I33)&gt;0,SUM(D33:I33),IF(K33="", "", K33))</f>
        <v/>
      </c>
      <c r="K33" s="3" t="n">
        <v>1</v>
      </c>
      <c r="L33" s="3" t="n"/>
      <c r="M33" s="4" t="n"/>
      <c r="N33" s="3" t="n"/>
      <c r="O33" s="6">
        <f>IF(COUNTA(L33:N33)&gt;0,SUM(L33:N33),IF(P33="", "", P33))</f>
        <v/>
      </c>
      <c r="P33" s="3" t="n">
        <v>6</v>
      </c>
      <c r="Q33" s="3" t="n"/>
      <c r="R33" s="3" t="n">
        <v>20</v>
      </c>
      <c r="S33" s="6">
        <f>IF(OR(C33="",J33="",O33=""),"",C33+J33-O33)</f>
        <v/>
      </c>
      <c r="T33" s="3" t="n">
        <v>64</v>
      </c>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DATE(2026,2,28)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v>20</v>
      </c>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2" t="inlineStr">
        <is>
          <t>TOTAL</t>
        </is>
      </c>
      <c r="D35" s="8">
        <f>SUM(D7:D34)</f>
        <v/>
      </c>
      <c r="E35" s="8">
        <f>SUM(E7:E34)</f>
        <v/>
      </c>
      <c r="F35" s="8">
        <f>SUM(F7:F34)</f>
        <v/>
      </c>
      <c r="G35" s="8">
        <f>SUM(G7:G34)</f>
        <v/>
      </c>
      <c r="H35" s="8">
        <f>SUM(H7:H34)</f>
        <v/>
      </c>
      <c r="I35" s="8">
        <f>SUM(I7:I34)</f>
        <v/>
      </c>
      <c r="J35" s="8">
        <f>SUM(J7:J34)</f>
        <v/>
      </c>
      <c r="K35" s="8">
        <f>SUM(K7:K34)</f>
        <v/>
      </c>
      <c r="L35" s="8">
        <f>SUM(L7:L34)</f>
        <v/>
      </c>
      <c r="M35" s="8">
        <f>SUM(M7:M34)</f>
        <v/>
      </c>
      <c r="N35" s="8">
        <f>SUM(N7:N34)</f>
        <v/>
      </c>
      <c r="O35" s="8">
        <f>SUM(O7:O34)</f>
        <v/>
      </c>
      <c r="P35" s="8">
        <f>SUM(P7:P34)</f>
        <v/>
      </c>
      <c r="Q35" s="8">
        <f>SUM(Q7:Q34)</f>
        <v/>
      </c>
      <c r="R35" s="8">
        <f>SUM(R7:R34)</f>
        <v/>
      </c>
      <c r="S35" s="8">
        <f>SUM(S7:S34)</f>
        <v/>
      </c>
      <c r="T35" s="8">
        <f>SUM(T7:T34)</f>
        <v/>
      </c>
      <c r="U35" s="8">
        <f>SUM(U7:U34)</f>
        <v/>
      </c>
      <c r="V35" s="8">
        <f>SUM(V7:V34)</f>
        <v/>
      </c>
    </row>
    <row r="38">
      <c r="A38" s="2" t="inlineStr">
        <is>
          <t>RESUMEN DEL MES</t>
        </is>
      </c>
      <c r="B38" s="9" t="n"/>
      <c r="C38" s="9" t="n"/>
      <c r="D38" s="10" t="n"/>
      <c r="F38" s="2" t="inlineStr">
        <is>
          <t>CONTROL DEL MES</t>
        </is>
      </c>
      <c r="G38" s="9" t="n"/>
      <c r="H38" s="9" t="n"/>
      <c r="I38" s="10" t="n"/>
    </row>
    <row r="39">
      <c r="A39" s="5" t="inlineStr">
        <is>
          <t>Total ingresos</t>
        </is>
      </c>
      <c r="B39" s="6">
        <f>J35</f>
        <v/>
      </c>
      <c r="F39" s="5" t="inlineStr">
        <is>
          <t>Balance debe ser 0</t>
        </is>
      </c>
      <c r="G39" s="6">
        <f>IF(B50=0,"OK","REVISAR")</f>
        <v/>
      </c>
    </row>
    <row r="40">
      <c r="A40" s="5" t="inlineStr">
        <is>
          <t>Total egresos</t>
        </is>
      </c>
      <c r="B40" s="6">
        <f>O35</f>
        <v/>
      </c>
      <c r="F40" s="5" t="inlineStr">
        <is>
          <t>No debe haber ocupacion negativa</t>
        </is>
      </c>
      <c r="G40" s="6">
        <f>IF(COUNTIF(W7:W34,"OCUPACION NEGATIVA")=0,"OK","REVISAR")</f>
        <v/>
      </c>
    </row>
    <row r="41">
      <c r="A41" s="5" t="inlineStr">
        <is>
          <t>Altas hogar / otro hosp.</t>
        </is>
      </c>
      <c r="B41" s="6">
        <f>L35</f>
        <v/>
      </c>
      <c r="F41" s="5" t="inlineStr">
        <is>
          <t>No deberia faltar existencia inicial</t>
        </is>
      </c>
      <c r="G41" s="6">
        <f>IF(C7="","REVISAR","OK")</f>
        <v/>
      </c>
    </row>
    <row r="42">
      <c r="A42" s="5" t="inlineStr">
        <is>
          <t>Traslados a otro servicio</t>
        </is>
      </c>
      <c r="B42" s="6">
        <f>M35</f>
        <v/>
      </c>
      <c r="F42" s="5" t="inlineStr">
        <is>
          <t>Dias con alertas</t>
        </is>
      </c>
      <c r="G42" s="6">
        <f>B52</f>
        <v/>
      </c>
    </row>
    <row r="43">
      <c r="A43" s="5" t="inlineStr">
        <is>
          <t>Fallecidos</t>
        </is>
      </c>
      <c r="B43" s="6">
        <f>N35</f>
        <v/>
      </c>
    </row>
    <row r="44">
      <c r="A44" s="5" t="inlineStr">
        <is>
          <t>Pacientes atendidos del mes</t>
        </is>
      </c>
      <c r="B44" s="6">
        <f>C7+J35</f>
        <v/>
      </c>
    </row>
    <row r="45">
      <c r="A45" s="5" t="inlineStr">
        <is>
          <t>Dias personas atendidas</t>
        </is>
      </c>
      <c r="B45" s="6">
        <f>T35</f>
        <v/>
      </c>
    </row>
    <row r="46">
      <c r="A46" s="5" t="inlineStr">
        <is>
          <t>Promedio camas</t>
        </is>
      </c>
      <c r="B46" s="11">
        <f>AVERAGE(R7:R34)</f>
        <v/>
      </c>
    </row>
    <row r="47">
      <c r="A47" s="5" t="inlineStr">
        <is>
          <t>Indice ocupacional</t>
        </is>
      </c>
      <c r="B47" s="12">
        <f>IFERROR(S35/R35,"")</f>
        <v/>
      </c>
    </row>
    <row r="48">
      <c r="A48" s="5" t="inlineStr">
        <is>
          <t>Promedio dia de estada</t>
        </is>
      </c>
      <c r="B48" s="11">
        <f>IFERROR(T35/O35,"")</f>
        <v/>
      </c>
    </row>
    <row r="49">
      <c r="A49" s="5" t="inlineStr">
        <is>
          <t>Censo final</t>
        </is>
      </c>
      <c r="B49" s="6">
        <f>S34</f>
        <v/>
      </c>
    </row>
    <row r="50">
      <c r="A50" s="5" t="inlineStr">
        <is>
          <t>Balance del mes</t>
        </is>
      </c>
      <c r="B50" s="6">
        <f>C7+J35-O35-S34</f>
        <v/>
      </c>
    </row>
    <row r="51">
      <c r="A51" s="5" t="inlineStr">
        <is>
          <t>Dias con sobreocupacion</t>
        </is>
      </c>
      <c r="B51" s="6">
        <f>COUNTIF(W7:W34,"SOBREOCUPACION")</f>
        <v/>
      </c>
    </row>
    <row r="52">
      <c r="A52" s="5" t="inlineStr">
        <is>
          <t>Dias con alerta</t>
        </is>
      </c>
      <c r="B52" s="6">
        <f>COUNTIF(W7:W34,"&lt;&gt;OK")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38:I38"/>
    <mergeCell ref="A38:D38"/>
  </mergeCells>
  <dataValidations count="1">
    <dataValidation sqref="C7 D7 D8 D9 D10 D11 D12 D13 D14 D15 D16 D17 D18 D19 D20 D21 D22 D23 D24 D25 D26 D27 D28 D29 D30 D31 D32 D33 D34 E7 E8 E9 E10 E11 E12 E13 E14 E15 E16 E17 E18 E19 E20 E21 E22 E23 E24 E25 E26 E27 E28 E29 E30 E31 E32 E33 E34 F7 F8 F9 F10 F11 F12 F13 F14 F15 F16 F17 F18 F19 F20 F21 F22 F23 F24 F25 F26 F27 F28 F29 F30 F31 F32 F33 F34 G7 G8 G9 G10 G11 G12 G13 G14 G15 G16 G17 G18 G19 G20 G21 G22 G23 G24 G25 G26 G27 G28 G29 G30 G31 G32 G33 G34 H7 H8 H9 H10 H11 H12 H13 H14 H15 H16 H17 H18 H19 H20 H21 H22 H23 H24 H25 H26 H27 H28 H29 H30 H31 H32 H33 H34 I7 I8 I9 I10 I11 I12 I13 I14 I15 I16 I17 I18 I19 I20 I21 I22 I23 I24 I25 I26 I27 I28 I29 I30 I31 I32 I33 I34 K7 K8 K9 K10 K11 K12 K13 K14 K15 K16 K17 K18 K19 K20 K21 K22 K23 K24 K25 K26 K27 K28 K29 K30 K31 K32 K33 K34 L7 L8 L9 L10 L11 L12 L13 L14 L15 L16 L17 L18 L19 L20 L21 L22 L23 L24 L25 L26 L27 L28 L29 L30 L31 L32 L33 L34 N7 N8 N9 N10 N11 N12 N13 N14 N15 N16 N17 N18 N19 N20 N21 N22 N23 N24 N25 N26 N27 N28 N29 N30 N31 N32 N33 N34 P7 P8 P9 P10 P11 P12 P13 P14 P15 P16 P17 P18 P19 P20 P21 P22 P23 P24 P25 P26 P27 P28 P29 P30 P31 P32 P33 P34 Q7 Q8 Q9 Q10 Q11 Q12 Q13 Q14 Q15 Q16 Q17 Q18 Q19 Q20 Q21 Q22 Q23 Q24 Q25 Q26 Q27 Q28 Q29 Q30 Q31 Q32 Q33 Q34 R7 R8 R9 R10 R11 R12 R13 R14 R15 R16 R17 R18 R19 R20 R21 R22 R23 R24 R25 R26 R27 R28 R29 R30 R31 R32 R33 R34 T7 T8 T9 T10 T11 T12 T13 T14 T15 T16 T17 T18 T19 T20 T21 T22 T23 T24 T25 T26 T27 T28 T29 T30 T31 T32 T33 T34 U7 U8 U9 U10 U11 U12 U13 U14 U15 U16 U17 U18 U19 U20 U21 U22 U23 U24 U25 U26 U27 U28 U29 U30 U31 U32 U33 U34 V7 V8 V9 V10 V11 V12 V13 V14 V15 V16 V17 V18 V19 V20 V21 V22 V23 V24 V25 V26 V27 V28 V29 V30 V31 V32 V33 V34" showDropDown="0" showInputMessage="0" showErrorMessage="0" allowBlank="1" type="whole" operator="greaterThanOrEqual">
      <formula1>0</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2" customWidth="1" min="5" max="5"/>
    <col width="10" customWidth="1" min="6" max="6"/>
    <col width="18" customWidth="1" min="7" max="7"/>
    <col width="20" customWidth="1" min="8" max="8"/>
    <col width="14" customWidth="1" min="9" max="9"/>
    <col width="16" customWidth="1" min="10" max="10"/>
    <col width="16" customWidth="1" min="11" max="11"/>
    <col width="10" customWidth="1" min="12" max="12"/>
    <col width="18" customWidth="1" min="13" max="13"/>
    <col width="14" customWidth="1" min="14" max="14"/>
  </cols>
  <sheetData>
    <row r="1">
      <c r="A1" s="1" t="inlineStr">
        <is>
          <t>RESUMEN GLOBAL</t>
        </is>
      </c>
    </row>
    <row r="3">
      <c r="A3" s="5" t="inlineStr">
        <is>
          <t>Mes</t>
        </is>
      </c>
      <c r="B3" s="5" t="inlineStr">
        <is>
          <t>Ingresos</t>
        </is>
      </c>
      <c r="C3" s="5" t="inlineStr">
        <is>
          <t>Egresos</t>
        </is>
      </c>
      <c r="D3" s="5" t="inlineStr">
        <is>
          <t>Altas</t>
        </is>
      </c>
      <c r="E3" s="5" t="inlineStr">
        <is>
          <t>Traslados</t>
        </is>
      </c>
      <c r="F3" s="5" t="inlineStr">
        <is>
          <t>Fallecidos</t>
        </is>
      </c>
      <c r="G3" s="5" t="inlineStr">
        <is>
          <t>Pacientes atendidos</t>
        </is>
      </c>
      <c r="H3" s="5" t="inlineStr">
        <is>
          <t>Dias personas atendidas</t>
        </is>
      </c>
      <c r="I3" s="5" t="inlineStr">
        <is>
          <t>Promedio camas</t>
        </is>
      </c>
      <c r="J3" s="5" t="inlineStr">
        <is>
          <t>Indice ocupacional</t>
        </is>
      </c>
      <c r="K3" s="5" t="inlineStr">
        <is>
          <t>Promedio estada</t>
        </is>
      </c>
      <c r="L3" s="5" t="inlineStr">
        <is>
          <t>Censo final</t>
        </is>
      </c>
      <c r="M3" s="5" t="inlineStr">
        <is>
          <t>Dias con sobreocupacion</t>
        </is>
      </c>
      <c r="N3" s="5" t="inlineStr">
        <is>
          <t>Dias con alerta</t>
        </is>
      </c>
    </row>
    <row r="4">
      <c r="A4" s="4" t="inlineStr">
        <is>
          <t>DICIEMBRE 2024</t>
        </is>
      </c>
      <c r="B4" s="6">
        <f>'DICIEMBRE 2024'!B42</f>
        <v/>
      </c>
      <c r="C4" s="6">
        <f>'DICIEMBRE 2024'!B43</f>
        <v/>
      </c>
      <c r="D4" s="6">
        <f>'DICIEMBRE 2024'!B44</f>
        <v/>
      </c>
      <c r="E4" s="6">
        <f>'DICIEMBRE 2024'!B45</f>
        <v/>
      </c>
      <c r="F4" s="6">
        <f>'DICIEMBRE 2024'!B46</f>
        <v/>
      </c>
      <c r="G4" s="6">
        <f>'DICIEMBRE 2024'!B47</f>
        <v/>
      </c>
      <c r="H4" s="6">
        <f>'DICIEMBRE 2024'!B48</f>
        <v/>
      </c>
      <c r="I4" s="11">
        <f>'DICIEMBRE 2024'!B49</f>
        <v/>
      </c>
      <c r="J4" s="12">
        <f>'DICIEMBRE 2024'!B50</f>
        <v/>
      </c>
      <c r="K4" s="11">
        <f>'DICIEMBRE 2024'!B51</f>
        <v/>
      </c>
      <c r="L4" s="6">
        <f>'DICIEMBRE 2024'!B52</f>
        <v/>
      </c>
      <c r="M4" s="6">
        <f>'DICIEMBRE 2024'!B54</f>
        <v/>
      </c>
      <c r="N4" s="6">
        <f>'DICIEMBRE 2024'!B55</f>
        <v/>
      </c>
    </row>
    <row r="5">
      <c r="A5" s="4" t="inlineStr">
        <is>
          <t>ENERO 2025</t>
        </is>
      </c>
      <c r="B5" s="6">
        <f>'ENERO 2025'!B42</f>
        <v/>
      </c>
      <c r="C5" s="6">
        <f>'ENERO 2025'!B43</f>
        <v/>
      </c>
      <c r="D5" s="6">
        <f>'ENERO 2025'!B44</f>
        <v/>
      </c>
      <c r="E5" s="6">
        <f>'ENERO 2025'!B45</f>
        <v/>
      </c>
      <c r="F5" s="6">
        <f>'ENERO 2025'!B46</f>
        <v/>
      </c>
      <c r="G5" s="6">
        <f>'ENERO 2025'!B47</f>
        <v/>
      </c>
      <c r="H5" s="6">
        <f>'ENERO 2025'!B48</f>
        <v/>
      </c>
      <c r="I5" s="11">
        <f>'ENERO 2025'!B49</f>
        <v/>
      </c>
      <c r="J5" s="12">
        <f>'ENERO 2025'!B50</f>
        <v/>
      </c>
      <c r="K5" s="11">
        <f>'ENERO 2025'!B51</f>
        <v/>
      </c>
      <c r="L5" s="6">
        <f>'ENERO 2025'!B52</f>
        <v/>
      </c>
      <c r="M5" s="6">
        <f>'ENERO 2025'!B54</f>
        <v/>
      </c>
      <c r="N5" s="6">
        <f>'ENERO 2025'!B55</f>
        <v/>
      </c>
    </row>
    <row r="6">
      <c r="A6" s="4" t="inlineStr">
        <is>
          <t>FEBRERO 2025</t>
        </is>
      </c>
      <c r="B6" s="6">
        <f>'FEBRERO 2025'!B39</f>
        <v/>
      </c>
      <c r="C6" s="6">
        <f>'FEBRERO 2025'!B40</f>
        <v/>
      </c>
      <c r="D6" s="6">
        <f>'FEBRERO 2025'!B41</f>
        <v/>
      </c>
      <c r="E6" s="6">
        <f>'FEBRERO 2025'!B42</f>
        <v/>
      </c>
      <c r="F6" s="6">
        <f>'FEBRERO 2025'!B43</f>
        <v/>
      </c>
      <c r="G6" s="6">
        <f>'FEBRERO 2025'!B44</f>
        <v/>
      </c>
      <c r="H6" s="6">
        <f>'FEBRERO 2025'!B45</f>
        <v/>
      </c>
      <c r="I6" s="11">
        <f>'FEBRERO 2025'!B46</f>
        <v/>
      </c>
      <c r="J6" s="12">
        <f>'FEBRERO 2025'!B47</f>
        <v/>
      </c>
      <c r="K6" s="11">
        <f>'FEBRERO 2025'!B48</f>
        <v/>
      </c>
      <c r="L6" s="6">
        <f>'FEBRERO 2025'!B49</f>
        <v/>
      </c>
      <c r="M6" s="6">
        <f>'FEBRERO 2025'!B51</f>
        <v/>
      </c>
      <c r="N6" s="6">
        <f>'FEBRERO 2025'!B52</f>
        <v/>
      </c>
    </row>
    <row r="7">
      <c r="A7" s="4" t="inlineStr">
        <is>
          <t>MARZO 2025</t>
        </is>
      </c>
      <c r="B7" s="6">
        <f>'MARZO 2025'!B42</f>
        <v/>
      </c>
      <c r="C7" s="6">
        <f>'MARZO 2025'!B43</f>
        <v/>
      </c>
      <c r="D7" s="6">
        <f>'MARZO 2025'!B44</f>
        <v/>
      </c>
      <c r="E7" s="6">
        <f>'MARZO 2025'!B45</f>
        <v/>
      </c>
      <c r="F7" s="6">
        <f>'MARZO 2025'!B46</f>
        <v/>
      </c>
      <c r="G7" s="6">
        <f>'MARZO 2025'!B47</f>
        <v/>
      </c>
      <c r="H7" s="6">
        <f>'MARZO 2025'!B48</f>
        <v/>
      </c>
      <c r="I7" s="11">
        <f>'MARZO 2025'!B49</f>
        <v/>
      </c>
      <c r="J7" s="12">
        <f>'MARZO 2025'!B50</f>
        <v/>
      </c>
      <c r="K7" s="11">
        <f>'MARZO 2025'!B51</f>
        <v/>
      </c>
      <c r="L7" s="6">
        <f>'MARZO 2025'!B52</f>
        <v/>
      </c>
      <c r="M7" s="6">
        <f>'MARZO 2025'!B54</f>
        <v/>
      </c>
      <c r="N7" s="6">
        <f>'MARZO 2025'!B55</f>
        <v/>
      </c>
    </row>
    <row r="8">
      <c r="A8" s="4" t="inlineStr">
        <is>
          <t>ABRIL 2025</t>
        </is>
      </c>
      <c r="B8" s="6">
        <f>'ABRIL 2025'!B41</f>
        <v/>
      </c>
      <c r="C8" s="6">
        <f>'ABRIL 2025'!B42</f>
        <v/>
      </c>
      <c r="D8" s="6">
        <f>'ABRIL 2025'!B43</f>
        <v/>
      </c>
      <c r="E8" s="6">
        <f>'ABRIL 2025'!B44</f>
        <v/>
      </c>
      <c r="F8" s="6">
        <f>'ABRIL 2025'!B45</f>
        <v/>
      </c>
      <c r="G8" s="6">
        <f>'ABRIL 2025'!B46</f>
        <v/>
      </c>
      <c r="H8" s="6">
        <f>'ABRIL 2025'!B47</f>
        <v/>
      </c>
      <c r="I8" s="11">
        <f>'ABRIL 2025'!B48</f>
        <v/>
      </c>
      <c r="J8" s="12">
        <f>'ABRIL 2025'!B49</f>
        <v/>
      </c>
      <c r="K8" s="11">
        <f>'ABRIL 2025'!B50</f>
        <v/>
      </c>
      <c r="L8" s="6">
        <f>'ABRIL 2025'!B51</f>
        <v/>
      </c>
      <c r="M8" s="6">
        <f>'ABRIL 2025'!B53</f>
        <v/>
      </c>
      <c r="N8" s="6">
        <f>'ABRIL 2025'!B54</f>
        <v/>
      </c>
    </row>
    <row r="9">
      <c r="A9" s="4" t="inlineStr">
        <is>
          <t>MAYO 2025</t>
        </is>
      </c>
      <c r="B9" s="6">
        <f>'MAYO 2025'!B42</f>
        <v/>
      </c>
      <c r="C9" s="6">
        <f>'MAYO 2025'!B43</f>
        <v/>
      </c>
      <c r="D9" s="6">
        <f>'MAYO 2025'!B44</f>
        <v/>
      </c>
      <c r="E9" s="6">
        <f>'MAYO 2025'!B45</f>
        <v/>
      </c>
      <c r="F9" s="6">
        <f>'MAYO 2025'!B46</f>
        <v/>
      </c>
      <c r="G9" s="6">
        <f>'MAYO 2025'!B47</f>
        <v/>
      </c>
      <c r="H9" s="6">
        <f>'MAYO 2025'!B48</f>
        <v/>
      </c>
      <c r="I9" s="11">
        <f>'MAYO 2025'!B49</f>
        <v/>
      </c>
      <c r="J9" s="12">
        <f>'MAYO 2025'!B50</f>
        <v/>
      </c>
      <c r="K9" s="11">
        <f>'MAYO 2025'!B51</f>
        <v/>
      </c>
      <c r="L9" s="6">
        <f>'MAYO 2025'!B52</f>
        <v/>
      </c>
      <c r="M9" s="6">
        <f>'MAYO 2025'!B54</f>
        <v/>
      </c>
      <c r="N9" s="6">
        <f>'MAYO 2025'!B55</f>
        <v/>
      </c>
    </row>
    <row r="10">
      <c r="A10" s="4" t="inlineStr">
        <is>
          <t>JUNIO 2025</t>
        </is>
      </c>
      <c r="B10" s="6">
        <f>'JUNIO 2025'!B41</f>
        <v/>
      </c>
      <c r="C10" s="6">
        <f>'JUNIO 2025'!B42</f>
        <v/>
      </c>
      <c r="D10" s="6">
        <f>'JUNIO 2025'!B43</f>
        <v/>
      </c>
      <c r="E10" s="6">
        <f>'JUNIO 2025'!B44</f>
        <v/>
      </c>
      <c r="F10" s="6">
        <f>'JUNIO 2025'!B45</f>
        <v/>
      </c>
      <c r="G10" s="6">
        <f>'JUNIO 2025'!B46</f>
        <v/>
      </c>
      <c r="H10" s="6">
        <f>'JUNIO 2025'!B47</f>
        <v/>
      </c>
      <c r="I10" s="11">
        <f>'JUNIO 2025'!B48</f>
        <v/>
      </c>
      <c r="J10" s="12">
        <f>'JUNIO 2025'!B49</f>
        <v/>
      </c>
      <c r="K10" s="11">
        <f>'JUNIO 2025'!B50</f>
        <v/>
      </c>
      <c r="L10" s="6">
        <f>'JUNIO 2025'!B51</f>
        <v/>
      </c>
      <c r="M10" s="6">
        <f>'JUNIO 2025'!B53</f>
        <v/>
      </c>
      <c r="N10" s="6">
        <f>'JUNIO 2025'!B54</f>
        <v/>
      </c>
    </row>
    <row r="11">
      <c r="A11" s="4" t="inlineStr">
        <is>
          <t>JULIO 2025</t>
        </is>
      </c>
      <c r="B11" s="6">
        <f>'JULIO 2025'!B42</f>
        <v/>
      </c>
      <c r="C11" s="6">
        <f>'JULIO 2025'!B43</f>
        <v/>
      </c>
      <c r="D11" s="6">
        <f>'JULIO 2025'!B44</f>
        <v/>
      </c>
      <c r="E11" s="6">
        <f>'JULIO 2025'!B45</f>
        <v/>
      </c>
      <c r="F11" s="6">
        <f>'JULIO 2025'!B46</f>
        <v/>
      </c>
      <c r="G11" s="6">
        <f>'JULIO 2025'!B47</f>
        <v/>
      </c>
      <c r="H11" s="6">
        <f>'JULIO 2025'!B48</f>
        <v/>
      </c>
      <c r="I11" s="11">
        <f>'JULIO 2025'!B49</f>
        <v/>
      </c>
      <c r="J11" s="12">
        <f>'JULIO 2025'!B50</f>
        <v/>
      </c>
      <c r="K11" s="11">
        <f>'JULIO 2025'!B51</f>
        <v/>
      </c>
      <c r="L11" s="6">
        <f>'JULIO 2025'!B52</f>
        <v/>
      </c>
      <c r="M11" s="6">
        <f>'JULIO 2025'!B54</f>
        <v/>
      </c>
      <c r="N11" s="6">
        <f>'JULIO 2025'!B55</f>
        <v/>
      </c>
    </row>
    <row r="12">
      <c r="A12" s="4" t="inlineStr">
        <is>
          <t>AGOSTO 2025</t>
        </is>
      </c>
      <c r="B12" s="6">
        <f>'AGOSTO 2025'!B42</f>
        <v/>
      </c>
      <c r="C12" s="6">
        <f>'AGOSTO 2025'!B43</f>
        <v/>
      </c>
      <c r="D12" s="6">
        <f>'AGOSTO 2025'!B44</f>
        <v/>
      </c>
      <c r="E12" s="6">
        <f>'AGOSTO 2025'!B45</f>
        <v/>
      </c>
      <c r="F12" s="6">
        <f>'AGOSTO 2025'!B46</f>
        <v/>
      </c>
      <c r="G12" s="6">
        <f>'AGOSTO 2025'!B47</f>
        <v/>
      </c>
      <c r="H12" s="6">
        <f>'AGOSTO 2025'!B48</f>
        <v/>
      </c>
      <c r="I12" s="11">
        <f>'AGOSTO 2025'!B49</f>
        <v/>
      </c>
      <c r="J12" s="12">
        <f>'AGOSTO 2025'!B50</f>
        <v/>
      </c>
      <c r="K12" s="11">
        <f>'AGOSTO 2025'!B51</f>
        <v/>
      </c>
      <c r="L12" s="6">
        <f>'AGOSTO 2025'!B52</f>
        <v/>
      </c>
      <c r="M12" s="6">
        <f>'AGOSTO 2025'!B54</f>
        <v/>
      </c>
      <c r="N12" s="6">
        <f>'AGOSTO 2025'!B55</f>
        <v/>
      </c>
    </row>
    <row r="13">
      <c r="A13" s="4" t="inlineStr">
        <is>
          <t>SEPTIEMBRE 2025</t>
        </is>
      </c>
      <c r="B13" s="6">
        <f>'SEPTIEMBRE 2025'!B41</f>
        <v/>
      </c>
      <c r="C13" s="6">
        <f>'SEPTIEMBRE 2025'!B42</f>
        <v/>
      </c>
      <c r="D13" s="6">
        <f>'SEPTIEMBRE 2025'!B43</f>
        <v/>
      </c>
      <c r="E13" s="6">
        <f>'SEPTIEMBRE 2025'!B44</f>
        <v/>
      </c>
      <c r="F13" s="6">
        <f>'SEPTIEMBRE 2025'!B45</f>
        <v/>
      </c>
      <c r="G13" s="6">
        <f>'SEPTIEMBRE 2025'!B46</f>
        <v/>
      </c>
      <c r="H13" s="6">
        <f>'SEPTIEMBRE 2025'!B47</f>
        <v/>
      </c>
      <c r="I13" s="11">
        <f>'SEPTIEMBRE 2025'!B48</f>
        <v/>
      </c>
      <c r="J13" s="12">
        <f>'SEPTIEMBRE 2025'!B49</f>
        <v/>
      </c>
      <c r="K13" s="11">
        <f>'SEPTIEMBRE 2025'!B50</f>
        <v/>
      </c>
      <c r="L13" s="6">
        <f>'SEPTIEMBRE 2025'!B51</f>
        <v/>
      </c>
      <c r="M13" s="6">
        <f>'SEPTIEMBRE 2025'!B53</f>
        <v/>
      </c>
      <c r="N13" s="6">
        <f>'SEPTIEMBRE 2025'!B54</f>
        <v/>
      </c>
    </row>
    <row r="14">
      <c r="A14" s="4" t="inlineStr">
        <is>
          <t>OCTUBRE 2025</t>
        </is>
      </c>
      <c r="B14" s="6">
        <f>'OCTUBRE 2025'!B42</f>
        <v/>
      </c>
      <c r="C14" s="6">
        <f>'OCTUBRE 2025'!B43</f>
        <v/>
      </c>
      <c r="D14" s="6">
        <f>'OCTUBRE 2025'!B44</f>
        <v/>
      </c>
      <c r="E14" s="6">
        <f>'OCTUBRE 2025'!B45</f>
        <v/>
      </c>
      <c r="F14" s="6">
        <f>'OCTUBRE 2025'!B46</f>
        <v/>
      </c>
      <c r="G14" s="6">
        <f>'OCTUBRE 2025'!B47</f>
        <v/>
      </c>
      <c r="H14" s="6">
        <f>'OCTUBRE 2025'!B48</f>
        <v/>
      </c>
      <c r="I14" s="11">
        <f>'OCTUBRE 2025'!B49</f>
        <v/>
      </c>
      <c r="J14" s="12">
        <f>'OCTUBRE 2025'!B50</f>
        <v/>
      </c>
      <c r="K14" s="11">
        <f>'OCTUBRE 2025'!B51</f>
        <v/>
      </c>
      <c r="L14" s="6">
        <f>'OCTUBRE 2025'!B52</f>
        <v/>
      </c>
      <c r="M14" s="6">
        <f>'OCTUBRE 2025'!B54</f>
        <v/>
      </c>
      <c r="N14" s="6">
        <f>'OCTUBRE 2025'!B55</f>
        <v/>
      </c>
    </row>
    <row r="15">
      <c r="A15" s="4" t="inlineStr">
        <is>
          <t>NOVIEMBRE 2025</t>
        </is>
      </c>
      <c r="B15" s="6">
        <f>'NOVIEMBRE 2025'!B41</f>
        <v/>
      </c>
      <c r="C15" s="6">
        <f>'NOVIEMBRE 2025'!B42</f>
        <v/>
      </c>
      <c r="D15" s="6">
        <f>'NOVIEMBRE 2025'!B43</f>
        <v/>
      </c>
      <c r="E15" s="6">
        <f>'NOVIEMBRE 2025'!B44</f>
        <v/>
      </c>
      <c r="F15" s="6">
        <f>'NOVIEMBRE 2025'!B45</f>
        <v/>
      </c>
      <c r="G15" s="6">
        <f>'NOVIEMBRE 2025'!B46</f>
        <v/>
      </c>
      <c r="H15" s="6">
        <f>'NOVIEMBRE 2025'!B47</f>
        <v/>
      </c>
      <c r="I15" s="11">
        <f>'NOVIEMBRE 2025'!B48</f>
        <v/>
      </c>
      <c r="J15" s="12">
        <f>'NOVIEMBRE 2025'!B49</f>
        <v/>
      </c>
      <c r="K15" s="11">
        <f>'NOVIEMBRE 2025'!B50</f>
        <v/>
      </c>
      <c r="L15" s="6">
        <f>'NOVIEMBRE 2025'!B51</f>
        <v/>
      </c>
      <c r="M15" s="6">
        <f>'NOVIEMBRE 2025'!B53</f>
        <v/>
      </c>
      <c r="N15" s="6">
        <f>'NOVIEMBRE 2025'!B54</f>
        <v/>
      </c>
    </row>
    <row r="16">
      <c r="A16" s="4" t="inlineStr">
        <is>
          <t>DICIEMBRE 2025</t>
        </is>
      </c>
      <c r="B16" s="6">
        <f>'DICIEMBRE 2025'!B42</f>
        <v/>
      </c>
      <c r="C16" s="6">
        <f>'DICIEMBRE 2025'!B43</f>
        <v/>
      </c>
      <c r="D16" s="6">
        <f>'DICIEMBRE 2025'!B44</f>
        <v/>
      </c>
      <c r="E16" s="6">
        <f>'DICIEMBRE 2025'!B45</f>
        <v/>
      </c>
      <c r="F16" s="6">
        <f>'DICIEMBRE 2025'!B46</f>
        <v/>
      </c>
      <c r="G16" s="6">
        <f>'DICIEMBRE 2025'!B47</f>
        <v/>
      </c>
      <c r="H16" s="6">
        <f>'DICIEMBRE 2025'!B48</f>
        <v/>
      </c>
      <c r="I16" s="11">
        <f>'DICIEMBRE 2025'!B49</f>
        <v/>
      </c>
      <c r="J16" s="12">
        <f>'DICIEMBRE 2025'!B50</f>
        <v/>
      </c>
      <c r="K16" s="11">
        <f>'DICIEMBRE 2025'!B51</f>
        <v/>
      </c>
      <c r="L16" s="6">
        <f>'DICIEMBRE 2025'!B52</f>
        <v/>
      </c>
      <c r="M16" s="6">
        <f>'DICIEMBRE 2025'!B54</f>
        <v/>
      </c>
      <c r="N16" s="6">
        <f>'DICIEMBRE 2025'!B55</f>
        <v/>
      </c>
    </row>
    <row r="17">
      <c r="A17" s="4" t="inlineStr">
        <is>
          <t>ENERO 2026</t>
        </is>
      </c>
      <c r="B17" s="6">
        <f>'ENERO 2026'!B42</f>
        <v/>
      </c>
      <c r="C17" s="6">
        <f>'ENERO 2026'!B43</f>
        <v/>
      </c>
      <c r="D17" s="6">
        <f>'ENERO 2026'!B44</f>
        <v/>
      </c>
      <c r="E17" s="6">
        <f>'ENERO 2026'!B45</f>
        <v/>
      </c>
      <c r="F17" s="6">
        <f>'ENERO 2026'!B46</f>
        <v/>
      </c>
      <c r="G17" s="6">
        <f>'ENERO 2026'!B47</f>
        <v/>
      </c>
      <c r="H17" s="6">
        <f>'ENERO 2026'!B48</f>
        <v/>
      </c>
      <c r="I17" s="11">
        <f>'ENERO 2026'!B49</f>
        <v/>
      </c>
      <c r="J17" s="12">
        <f>'ENERO 2026'!B50</f>
        <v/>
      </c>
      <c r="K17" s="11">
        <f>'ENERO 2026'!B51</f>
        <v/>
      </c>
      <c r="L17" s="6">
        <f>'ENERO 2026'!B52</f>
        <v/>
      </c>
      <c r="M17" s="6">
        <f>'ENERO 2026'!B54</f>
        <v/>
      </c>
      <c r="N17" s="6">
        <f>'ENERO 2026'!B55</f>
        <v/>
      </c>
    </row>
    <row r="18">
      <c r="A18" s="4" t="inlineStr">
        <is>
          <t>FEBRERO 2026</t>
        </is>
      </c>
      <c r="B18" s="6">
        <f>'FEBRERO 2026'!B39</f>
        <v/>
      </c>
      <c r="C18" s="6">
        <f>'FEBRERO 2026'!B40</f>
        <v/>
      </c>
      <c r="D18" s="6">
        <f>'FEBRERO 2026'!B41</f>
        <v/>
      </c>
      <c r="E18" s="6">
        <f>'FEBRERO 2026'!B42</f>
        <v/>
      </c>
      <c r="F18" s="6">
        <f>'FEBRERO 2026'!B43</f>
        <v/>
      </c>
      <c r="G18" s="6">
        <f>'FEBRERO 2026'!B44</f>
        <v/>
      </c>
      <c r="H18" s="6">
        <f>'FEBRERO 2026'!B45</f>
        <v/>
      </c>
      <c r="I18" s="11">
        <f>'FEBRERO 2026'!B46</f>
        <v/>
      </c>
      <c r="J18" s="12">
        <f>'FEBRERO 2026'!B47</f>
        <v/>
      </c>
      <c r="K18" s="11">
        <f>'FEBRERO 2026'!B48</f>
        <v/>
      </c>
      <c r="L18" s="6">
        <f>'FEBRERO 2026'!B49</f>
        <v/>
      </c>
      <c r="M18" s="6">
        <f>'FEBRERO 2026'!B51</f>
        <v/>
      </c>
      <c r="N18" s="6">
        <f>'FEBRERO 2026'!B52</f>
        <v/>
      </c>
    </row>
  </sheetData>
  <mergeCells count="1">
    <mergeCell ref="A1:N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6" customWidth="1" min="2" max="2"/>
    <col width="14" customWidth="1" min="3" max="3"/>
    <col width="18" customWidth="1" min="4" max="4"/>
    <col width="14" customWidth="1" min="5" max="5"/>
    <col width="12" customWidth="1" min="6" max="6"/>
  </cols>
  <sheetData>
    <row r="1">
      <c r="A1" s="1" t="inlineStr">
        <is>
          <t>CONTROL GLOBAL</t>
        </is>
      </c>
    </row>
    <row r="3">
      <c r="A3" s="5" t="inlineStr">
        <is>
          <t>Mes</t>
        </is>
      </c>
      <c r="B3" s="5" t="inlineStr">
        <is>
          <t>Estado migracion</t>
        </is>
      </c>
      <c r="C3" s="5" t="inlineStr">
        <is>
          <t>Dias con alerta</t>
        </is>
      </c>
      <c r="D3" s="5" t="inlineStr">
        <is>
          <t>Dias con sobreocupacion</t>
        </is>
      </c>
      <c r="E3" s="5" t="inlineStr">
        <is>
          <t>Balance del mes</t>
        </is>
      </c>
      <c r="F3" s="5" t="inlineStr">
        <is>
          <t>Semaforo</t>
        </is>
      </c>
    </row>
    <row r="4">
      <c r="A4" s="4" t="inlineStr">
        <is>
          <t>DICIEMBRE 2024</t>
        </is>
      </c>
      <c r="B4" s="6">
        <f>03_MIGRACION!B4</f>
        <v/>
      </c>
      <c r="C4" s="6">
        <f>'DICIEMBRE 2024'!B55</f>
        <v/>
      </c>
      <c r="D4" s="6">
        <f>'DICIEMBRE 2024'!B54</f>
        <v/>
      </c>
      <c r="E4" s="6">
        <f>'DICIEMBRE 2024'!B53</f>
        <v/>
      </c>
      <c r="F4" s="6">
        <f>IF(OR(C4&gt;0,E4&lt;&gt;0),"REVISAR","OK")</f>
        <v/>
      </c>
    </row>
    <row r="5">
      <c r="A5" s="4" t="inlineStr">
        <is>
          <t>ENERO 2025</t>
        </is>
      </c>
      <c r="B5" s="6">
        <f>03_MIGRACION!B5</f>
        <v/>
      </c>
      <c r="C5" s="6">
        <f>'ENERO 2025'!B55</f>
        <v/>
      </c>
      <c r="D5" s="6">
        <f>'ENERO 2025'!B54</f>
        <v/>
      </c>
      <c r="E5" s="6">
        <f>'ENERO 2025'!B53</f>
        <v/>
      </c>
      <c r="F5" s="6">
        <f>IF(OR(C5&gt;0,E5&lt;&gt;0),"REVISAR","OK")</f>
        <v/>
      </c>
    </row>
    <row r="6">
      <c r="A6" s="4" t="inlineStr">
        <is>
          <t>FEBRERO 2025</t>
        </is>
      </c>
      <c r="B6" s="6">
        <f>03_MIGRACION!B6</f>
        <v/>
      </c>
      <c r="C6" s="6">
        <f>'FEBRERO 2025'!B52</f>
        <v/>
      </c>
      <c r="D6" s="6">
        <f>'FEBRERO 2025'!B51</f>
        <v/>
      </c>
      <c r="E6" s="6">
        <f>'FEBRERO 2025'!B50</f>
        <v/>
      </c>
      <c r="F6" s="6">
        <f>IF(OR(C6&gt;0,E6&lt;&gt;0),"REVISAR","OK")</f>
        <v/>
      </c>
    </row>
    <row r="7">
      <c r="A7" s="4" t="inlineStr">
        <is>
          <t>MARZO 2025</t>
        </is>
      </c>
      <c r="B7" s="6">
        <f>03_MIGRACION!B7</f>
        <v/>
      </c>
      <c r="C7" s="6">
        <f>'MARZO 2025'!B55</f>
        <v/>
      </c>
      <c r="D7" s="6">
        <f>'MARZO 2025'!B54</f>
        <v/>
      </c>
      <c r="E7" s="6">
        <f>'MARZO 2025'!B53</f>
        <v/>
      </c>
      <c r="F7" s="6">
        <f>IF(OR(C7&gt;0,E7&lt;&gt;0),"REVISAR","OK")</f>
        <v/>
      </c>
    </row>
    <row r="8">
      <c r="A8" s="4" t="inlineStr">
        <is>
          <t>ABRIL 2025</t>
        </is>
      </c>
      <c r="B8" s="6">
        <f>03_MIGRACION!B8</f>
        <v/>
      </c>
      <c r="C8" s="6">
        <f>'ABRIL 2025'!B54</f>
        <v/>
      </c>
      <c r="D8" s="6">
        <f>'ABRIL 2025'!B53</f>
        <v/>
      </c>
      <c r="E8" s="6">
        <f>'ABRIL 2025'!B52</f>
        <v/>
      </c>
      <c r="F8" s="6">
        <f>IF(OR(C8&gt;0,E8&lt;&gt;0),"REVISAR","OK")</f>
        <v/>
      </c>
    </row>
    <row r="9">
      <c r="A9" s="4" t="inlineStr">
        <is>
          <t>MAYO 2025</t>
        </is>
      </c>
      <c r="B9" s="6">
        <f>03_MIGRACION!B9</f>
        <v/>
      </c>
      <c r="C9" s="6">
        <f>'MAYO 2025'!B55</f>
        <v/>
      </c>
      <c r="D9" s="6">
        <f>'MAYO 2025'!B54</f>
        <v/>
      </c>
      <c r="E9" s="6">
        <f>'MAYO 2025'!B53</f>
        <v/>
      </c>
      <c r="F9" s="6">
        <f>IF(OR(C9&gt;0,E9&lt;&gt;0),"REVISAR","OK")</f>
        <v/>
      </c>
    </row>
    <row r="10">
      <c r="A10" s="4" t="inlineStr">
        <is>
          <t>JUNIO 2025</t>
        </is>
      </c>
      <c r="B10" s="6">
        <f>03_MIGRACION!B10</f>
        <v/>
      </c>
      <c r="C10" s="6">
        <f>'JUNIO 2025'!B54</f>
        <v/>
      </c>
      <c r="D10" s="6">
        <f>'JUNIO 2025'!B53</f>
        <v/>
      </c>
      <c r="E10" s="6">
        <f>'JUNIO 2025'!B52</f>
        <v/>
      </c>
      <c r="F10" s="6">
        <f>IF(OR(C10&gt;0,E10&lt;&gt;0),"REVISAR","OK")</f>
        <v/>
      </c>
    </row>
    <row r="11">
      <c r="A11" s="4" t="inlineStr">
        <is>
          <t>JULIO 2025</t>
        </is>
      </c>
      <c r="B11" s="6">
        <f>03_MIGRACION!B11</f>
        <v/>
      </c>
      <c r="C11" s="6">
        <f>'JULIO 2025'!B55</f>
        <v/>
      </c>
      <c r="D11" s="6">
        <f>'JULIO 2025'!B54</f>
        <v/>
      </c>
      <c r="E11" s="6">
        <f>'JULIO 2025'!B53</f>
        <v/>
      </c>
      <c r="F11" s="6">
        <f>IF(OR(C11&gt;0,E11&lt;&gt;0),"REVISAR","OK")</f>
        <v/>
      </c>
    </row>
    <row r="12">
      <c r="A12" s="4" t="inlineStr">
        <is>
          <t>AGOSTO 2025</t>
        </is>
      </c>
      <c r="B12" s="6">
        <f>03_MIGRACION!B12</f>
        <v/>
      </c>
      <c r="C12" s="6">
        <f>'AGOSTO 2025'!B55</f>
        <v/>
      </c>
      <c r="D12" s="6">
        <f>'AGOSTO 2025'!B54</f>
        <v/>
      </c>
      <c r="E12" s="6">
        <f>'AGOSTO 2025'!B53</f>
        <v/>
      </c>
      <c r="F12" s="6">
        <f>IF(OR(C12&gt;0,E12&lt;&gt;0),"REVISAR","OK")</f>
        <v/>
      </c>
    </row>
    <row r="13">
      <c r="A13" s="4" t="inlineStr">
        <is>
          <t>SEPTIEMBRE 2025</t>
        </is>
      </c>
      <c r="B13" s="6">
        <f>03_MIGRACION!B13</f>
        <v/>
      </c>
      <c r="C13" s="6">
        <f>'SEPTIEMBRE 2025'!B54</f>
        <v/>
      </c>
      <c r="D13" s="6">
        <f>'SEPTIEMBRE 2025'!B53</f>
        <v/>
      </c>
      <c r="E13" s="6">
        <f>'SEPTIEMBRE 2025'!B52</f>
        <v/>
      </c>
      <c r="F13" s="6">
        <f>IF(OR(C13&gt;0,E13&lt;&gt;0),"REVISAR","OK")</f>
        <v/>
      </c>
    </row>
    <row r="14">
      <c r="A14" s="4" t="inlineStr">
        <is>
          <t>OCTUBRE 2025</t>
        </is>
      </c>
      <c r="B14" s="6">
        <f>03_MIGRACION!B14</f>
        <v/>
      </c>
      <c r="C14" s="6">
        <f>'OCTUBRE 2025'!B55</f>
        <v/>
      </c>
      <c r="D14" s="6">
        <f>'OCTUBRE 2025'!B54</f>
        <v/>
      </c>
      <c r="E14" s="6">
        <f>'OCTUBRE 2025'!B53</f>
        <v/>
      </c>
      <c r="F14" s="6">
        <f>IF(OR(C14&gt;0,E14&lt;&gt;0),"REVISAR","OK")</f>
        <v/>
      </c>
    </row>
    <row r="15">
      <c r="A15" s="4" t="inlineStr">
        <is>
          <t>NOVIEMBRE 2025</t>
        </is>
      </c>
      <c r="B15" s="6">
        <f>03_MIGRACION!B15</f>
        <v/>
      </c>
      <c r="C15" s="6">
        <f>'NOVIEMBRE 2025'!B54</f>
        <v/>
      </c>
      <c r="D15" s="6">
        <f>'NOVIEMBRE 2025'!B53</f>
        <v/>
      </c>
      <c r="E15" s="6">
        <f>'NOVIEMBRE 2025'!B52</f>
        <v/>
      </c>
      <c r="F15" s="6">
        <f>IF(OR(C15&gt;0,E15&lt;&gt;0),"REVISAR","OK")</f>
        <v/>
      </c>
    </row>
    <row r="16">
      <c r="A16" s="4" t="inlineStr">
        <is>
          <t>DICIEMBRE 2025</t>
        </is>
      </c>
      <c r="B16" s="6">
        <f>03_MIGRACION!B16</f>
        <v/>
      </c>
      <c r="C16" s="6">
        <f>'DICIEMBRE 2025'!B55</f>
        <v/>
      </c>
      <c r="D16" s="6">
        <f>'DICIEMBRE 2025'!B54</f>
        <v/>
      </c>
      <c r="E16" s="6">
        <f>'DICIEMBRE 2025'!B53</f>
        <v/>
      </c>
      <c r="F16" s="6">
        <f>IF(OR(C16&gt;0,E16&lt;&gt;0),"REVISAR","OK")</f>
        <v/>
      </c>
    </row>
    <row r="17">
      <c r="A17" s="4" t="inlineStr">
        <is>
          <t>ENERO 2026</t>
        </is>
      </c>
      <c r="B17" s="6">
        <f>03_MIGRACION!B17</f>
        <v/>
      </c>
      <c r="C17" s="6">
        <f>'ENERO 2026'!B55</f>
        <v/>
      </c>
      <c r="D17" s="6">
        <f>'ENERO 2026'!B54</f>
        <v/>
      </c>
      <c r="E17" s="6">
        <f>'ENERO 2026'!B53</f>
        <v/>
      </c>
      <c r="F17" s="6">
        <f>IF(OR(C17&gt;0,E17&lt;&gt;0),"REVISAR","OK")</f>
        <v/>
      </c>
    </row>
    <row r="18">
      <c r="A18" s="4" t="inlineStr">
        <is>
          <t>FEBRERO 2026</t>
        </is>
      </c>
      <c r="B18" s="6">
        <f>03_MIGRACION!B18</f>
        <v/>
      </c>
      <c r="C18" s="6">
        <f>'FEBRERO 2026'!B52</f>
        <v/>
      </c>
      <c r="D18" s="6">
        <f>'FEBRERO 2026'!B51</f>
        <v/>
      </c>
      <c r="E18" s="6">
        <f>'FEBRERO 2026'!B50</f>
        <v/>
      </c>
      <c r="F18" s="6">
        <f>IF(OR(C18&gt;0,E18&lt;&gt;0),"REVISAR","OK")</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2026-03-30T19:21:49Z</dcterms:created>
  <dcterms:modified xsi:type="dcterms:W3CDTF">2026-03-30T19:27:21Z</dcterms:modified>
</cp:coreProperties>
</file>